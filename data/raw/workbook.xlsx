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Volumes/Work Drive/GitHub/2025 Annual Report on Drug Related Mortality/data/raw/"/>
    </mc:Choice>
  </mc:AlternateContent>
  <xr:revisionPtr revIDLastSave="0" documentId="13_ncr:1_{9BC88794-F1E0-264E-A188-EA72C858A792}" xr6:coauthVersionLast="47" xr6:coauthVersionMax="47" xr10:uidLastSave="{00000000-0000-0000-0000-000000000000}"/>
  <bookViews>
    <workbookView xWindow="0" yWindow="660" windowWidth="34560" windowHeight="21680" activeTab="2" xr2:uid="{00000000-000D-0000-FFFF-FFFF00000000}"/>
  </bookViews>
  <sheets>
    <sheet name="Master" sheetId="1" r:id="rId1"/>
    <sheet name="Dropdowns" sheetId="2" r:id="rId2"/>
    <sheet name="Suspected Overdose Zip 23-24" sheetId="6" r:id="rId3"/>
    <sheet name="Overdose Deaths 21-24" sheetId="7" r:id="rId4"/>
    <sheet name="OD Death Quarter 21-24" sheetId="9" r:id="rId5"/>
    <sheet name="OD Deaths Pop 21-24" sheetId="10" r:id="rId6"/>
    <sheet name="OD Deaths Sex 21-24" sheetId="11" r:id="rId7"/>
    <sheet name="Overdose Deaths Age Group 21-24" sheetId="12" r:id="rId8"/>
    <sheet name="Drugs Present Time OD Death" sheetId="13" r:id="rId9"/>
    <sheet name="Drugs in Tox Screening 24" sheetId="14" r:id="rId10"/>
    <sheet name="OD Deaths OpioidStim 21-24" sheetId="15" r:id="rId11"/>
    <sheet name="Template2 (2)" sheetId="16" r:id="rId12"/>
    <sheet name="Sheet2" sheetId="8" r:id="rId13"/>
    <sheet name="Template2" sheetId="5"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6" l="1"/>
  <c r="B3" i="16"/>
  <c r="B3" i="5"/>
  <c r="B4" i="5"/>
  <c r="B3" i="15"/>
  <c r="B4" i="15"/>
  <c r="B3" i="14"/>
  <c r="B4" i="14"/>
  <c r="B3" i="13"/>
  <c r="B4" i="13"/>
  <c r="B3" i="12"/>
  <c r="B4" i="12"/>
  <c r="B3" i="11"/>
  <c r="B4" i="11"/>
  <c r="B3" i="10"/>
  <c r="B4" i="10"/>
  <c r="B3" i="9"/>
  <c r="B4" i="9"/>
  <c r="B3" i="7"/>
  <c r="B4" i="7"/>
  <c r="B3" i="6"/>
  <c r="B4" i="6"/>
  <c r="B1" i="6"/>
</calcChain>
</file>

<file path=xl/sharedStrings.xml><?xml version="1.0" encoding="utf-8"?>
<sst xmlns="http://schemas.openxmlformats.org/spreadsheetml/2006/main" count="485" uniqueCount="156">
  <si>
    <t>Activate/Deactivate</t>
  </si>
  <si>
    <t>Count</t>
  </si>
  <si>
    <t>Object_Type</t>
  </si>
  <si>
    <t>Old F or T</t>
  </si>
  <si>
    <t>Indicator Name</t>
  </si>
  <si>
    <t>Object ID</t>
  </si>
  <si>
    <t>Figure ID</t>
  </si>
  <si>
    <t>Our Data Source</t>
  </si>
  <si>
    <t>Activate</t>
  </si>
  <si>
    <t>Figure</t>
  </si>
  <si>
    <t>F1</t>
  </si>
  <si>
    <t>Table</t>
  </si>
  <si>
    <t>Format codes</t>
  </si>
  <si>
    <t>Y-labels</t>
  </si>
  <si>
    <t>Table/Figure/Both</t>
  </si>
  <si>
    <t>Figure Type</t>
  </si>
  <si>
    <t>integer</t>
  </si>
  <si>
    <t>Percent</t>
  </si>
  <si>
    <t>line</t>
  </si>
  <si>
    <t>number</t>
  </si>
  <si>
    <t>Rate per 1,000</t>
  </si>
  <si>
    <t>clustered_bar</t>
  </si>
  <si>
    <t>percent1</t>
  </si>
  <si>
    <t>Rate per 10,000</t>
  </si>
  <si>
    <t>Both</t>
  </si>
  <si>
    <t>stacked_bar</t>
  </si>
  <si>
    <t>percent2</t>
  </si>
  <si>
    <t>Rate per 100,000</t>
  </si>
  <si>
    <t>simple_bar</t>
  </si>
  <si>
    <t>currency</t>
  </si>
  <si>
    <t>Number of Cases</t>
  </si>
  <si>
    <t>horizontal_bar</t>
  </si>
  <si>
    <t>currency2</t>
  </si>
  <si>
    <t>Ratio</t>
  </si>
  <si>
    <t>ratio</t>
  </si>
  <si>
    <t>Index</t>
  </si>
  <si>
    <t>date</t>
  </si>
  <si>
    <t>Name</t>
  </si>
  <si>
    <t>Table Rules</t>
  </si>
  <si>
    <t>Multilevel Headers</t>
  </si>
  <si>
    <t>Figure Rules</t>
  </si>
  <si>
    <t>X Column</t>
  </si>
  <si>
    <t>Y Column</t>
  </si>
  <si>
    <t>X Axis Title</t>
  </si>
  <si>
    <t>County</t>
  </si>
  <si>
    <t>Y Axis Title</t>
  </si>
  <si>
    <t>Start at Zero</t>
  </si>
  <si>
    <t xml:space="preserve"> </t>
  </si>
  <si>
    <t xml:space="preserve">Note </t>
  </si>
  <si>
    <t>Note Specfications</t>
  </si>
  <si>
    <t>Source</t>
  </si>
  <si>
    <t>Source Specifications</t>
  </si>
  <si>
    <t>Pivot For Chart</t>
  </si>
  <si>
    <t>Line</t>
  </si>
  <si>
    <t xml:space="preserve">Enter Data </t>
  </si>
  <si>
    <t>text</t>
  </si>
  <si>
    <t xml:space="preserve">Object ID  </t>
  </si>
  <si>
    <t>F2</t>
  </si>
  <si>
    <t>12550 (Newburgh)</t>
  </si>
  <si>
    <t>10940 (Middletown)</t>
  </si>
  <si>
    <t>10950 (Monroe)</t>
  </si>
  <si>
    <t>10941 (Scotchtown)</t>
  </si>
  <si>
    <t>12553 (New Windsor)</t>
  </si>
  <si>
    <t>12771 (Port Jervis)</t>
  </si>
  <si>
    <t>12549 (Montgomery)</t>
  </si>
  <si>
    <t>12586 (Walden)</t>
  </si>
  <si>
    <t>12589 (Wallkill)</t>
  </si>
  <si>
    <t>10924 (Goshen)</t>
  </si>
  <si>
    <t>Clustered Bar</t>
  </si>
  <si>
    <t>Overdose Deaths by Year, 2021-2024</t>
  </si>
  <si>
    <t>Overdose Deaths by Quarter and Year, 2021-2024</t>
  </si>
  <si>
    <t>Rate of Overdose Deaths per 100,000 Population by Year 2021-2024</t>
  </si>
  <si>
    <t>Rate of Overdose Deaths by Sex and Year per 100,000 Population, 2021-2024</t>
  </si>
  <si>
    <t>Rate of Overdose Deaths by Age Group and Year per 100,000 Population, 2021-2024</t>
  </si>
  <si>
    <t>T1</t>
  </si>
  <si>
    <t>Type of Drugs Present at Time of Overdose Death, 2022-2024</t>
  </si>
  <si>
    <t>Share of Occurrences of Select Drugs in Toxicology Screenings, 2024</t>
  </si>
  <si>
    <t>Percent of Overdose Deaths by Opioid and Stimulant Involvement, 2021-2024</t>
  </si>
  <si>
    <t>Suspected Overdoses by Zip Code, 2024 vs. 2025</t>
  </si>
  <si>
    <t>Source: Washington/Baltimore HIDTA (n.d.) Overdose Detection Mapping Application Program (ODMAP)</t>
  </si>
  <si>
    <t>Bar</t>
  </si>
  <si>
    <t>Year</t>
  </si>
  <si>
    <t>Zip Code</t>
  </si>
  <si>
    <t>Quarter 1</t>
  </si>
  <si>
    <t>Quarter 2</t>
  </si>
  <si>
    <t>Quarter 3</t>
  </si>
  <si>
    <t>Quarter 4</t>
  </si>
  <si>
    <t>Source: Office of the Medical Examiner, Orange County, New York</t>
  </si>
  <si>
    <t>Rate</t>
  </si>
  <si>
    <t>Source: Office of the Medical Examiner, Orange County, New York; and U.S. Census Bureau; American Community Survey, 2023 American Community Survey 5-Year Estimates.</t>
  </si>
  <si>
    <t>Male</t>
  </si>
  <si>
    <t>Female</t>
  </si>
  <si>
    <t>Sex</t>
  </si>
  <si>
    <t xml:space="preserve">Note: The American Community Survey includes a question that intends to capture current sex; there are no questions about gender, sexual orientation, or sex at birth. Respondents respond either “male” or “female” based on how they currently identify their sex. </t>
  </si>
  <si>
    <t xml:space="preserve">Note: Due to the small number of deaths in children, youth, and young adults, this group has been combined for those under 35. </t>
  </si>
  <si>
    <t>Under 35</t>
  </si>
  <si>
    <t>35-44</t>
  </si>
  <si>
    <t>45-54</t>
  </si>
  <si>
    <t>Over 55</t>
  </si>
  <si>
    <t>Age Group</t>
  </si>
  <si>
    <t>Drug Type</t>
  </si>
  <si>
    <t xml:space="preserve">Count </t>
  </si>
  <si>
    <t>Percent Change</t>
  </si>
  <si>
    <t>2022 - 2023</t>
  </si>
  <si>
    <t>2023 - 2024</t>
  </si>
  <si>
    <t>Fentanyl</t>
  </si>
  <si>
    <t>Cocaine</t>
  </si>
  <si>
    <t>Benzodiazepines</t>
  </si>
  <si>
    <t>Alcohol</t>
  </si>
  <si>
    <t>Xylazine</t>
  </si>
  <si>
    <t>Amphetamines</t>
  </si>
  <si>
    <t>Prescription Opioid</t>
  </si>
  <si>
    <t>Heroin</t>
  </si>
  <si>
    <t>Category</t>
  </si>
  <si>
    <t>Drug</t>
  </si>
  <si>
    <t>Occurrences</t>
  </si>
  <si>
    <t>All Opioids</t>
  </si>
  <si>
    <t>Prescription Opioids</t>
  </si>
  <si>
    <t>Other</t>
  </si>
  <si>
    <t>All Stimulants</t>
  </si>
  <si>
    <t>Treemap</t>
  </si>
  <si>
    <t>Opioid and Stimulant</t>
  </si>
  <si>
    <t>Opioid Excl Stimulant</t>
  </si>
  <si>
    <t>Stimulant Excl Opioid</t>
  </si>
  <si>
    <t>Non-Opioid/Non-Stimulant</t>
  </si>
  <si>
    <t>Horizontal Stacked Bar</t>
  </si>
  <si>
    <t>tbl-1</t>
  </si>
  <si>
    <t>fig-1</t>
  </si>
  <si>
    <t>tbl-2</t>
  </si>
  <si>
    <t>fig-2</t>
  </si>
  <si>
    <t>tbl-3</t>
  </si>
  <si>
    <t>fig-3</t>
  </si>
  <si>
    <t>tbl-4</t>
  </si>
  <si>
    <t>fig-4</t>
  </si>
  <si>
    <t>tbl-5</t>
  </si>
  <si>
    <t>fig-5</t>
  </si>
  <si>
    <t>tbl-6</t>
  </si>
  <si>
    <t>fig-6</t>
  </si>
  <si>
    <t>tbl-7</t>
  </si>
  <si>
    <t>fig-7</t>
  </si>
  <si>
    <t>tbl-8</t>
  </si>
  <si>
    <t>fig-8</t>
  </si>
  <si>
    <t>tbl-9</t>
  </si>
  <si>
    <t>fig-9</t>
  </si>
  <si>
    <t>Note: These drug classifications were present and contributory to the cause of death. While other non-contributory drugs or compounds may have also been present, this visual is strictly limited to substances deemed contributory by the Medical Examiner. This figure tracks the total number of fatalities in which each drug classification was identified; because categories are not mutually exclusive due to multi-substance overdoses, the cumulative counts exceed 67 total deaths recorded in 2025.
A list of the drugs used for these classifications is included on Appendix A.</t>
  </si>
  <si>
    <t>Drug Name</t>
  </si>
  <si>
    <t>Ethanol</t>
  </si>
  <si>
    <t>Cocaethylene</t>
  </si>
  <si>
    <t>Mitragynine</t>
  </si>
  <si>
    <t>Alprazolam</t>
  </si>
  <si>
    <t>Oxycodone</t>
  </si>
  <si>
    <t>Gabapentin</t>
  </si>
  <si>
    <t>Top 10 Substances Identified in Overdose Fatalities, 2024–2025</t>
  </si>
  <si>
    <t>tbl-10</t>
  </si>
  <si>
    <t>fig-10</t>
  </si>
  <si>
    <t>Note: The drugs in this table have not been categorized into broader classifications and represent the true, standalone occurrences of each specific substance. While these substances were present in toxicology findings at the time of death, they may not have been the direct cause of death. Furthermore, additional drugs or compounds may have been present; however, this dataset is strictly limited to these ten drugs. The list is not mutually exclusive, as a single multi-substance fatality can contribute to the counts of multiple drugs. For this reason, the cumulative counts do not equal the 67 overall deaths recorded in 2025. For reference, there were 78 deaths 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</si>
</sst>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color theme="1"/>
      <name val="Calibri"/>
      <family val="2"/>
      <scheme val="minor"/>
    </font>
    <font>
      <b/>
      <sz val="48"/>
      <color theme="0"/>
      <name val="Calibri"/>
      <family val="2"/>
      <scheme val="minor"/>
    </font>
    <font>
      <b/>
      <sz val="11"/>
      <color theme="0"/>
      <name val="Calibri"/>
      <family val="2"/>
      <scheme val="minor"/>
    </font>
    <font>
      <sz val="12"/>
      <color theme="1"/>
      <name val="Aptos"/>
      <family val="2"/>
    </font>
    <font>
      <sz val="10"/>
      <color theme="1"/>
      <name val="Aptos"/>
      <family val="2"/>
    </font>
    <font>
      <b/>
      <sz val="12"/>
      <color theme="1"/>
      <name val="Aptos"/>
      <family val="2"/>
    </font>
    <font>
      <sz val="8"/>
      <name val="Calibri"/>
      <family val="2"/>
      <scheme val="minor"/>
    </font>
    <font>
      <b/>
      <sz val="11"/>
      <color theme="1"/>
      <name val="Aptos"/>
    </font>
    <font>
      <sz val="11"/>
      <color rgb="FF000000"/>
      <name val="Aptos"/>
    </font>
    <font>
      <b/>
      <i/>
      <sz val="12"/>
      <color theme="1"/>
      <name val="Aptos"/>
    </font>
    <font>
      <sz val="10"/>
      <color theme="1"/>
      <name val="Aptos"/>
    </font>
  </fonts>
  <fills count="5">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tint="-0.249977111117893"/>
        <bgColor indexed="64"/>
      </patternFill>
    </fill>
  </fills>
  <borders count="15">
    <border>
      <left/>
      <right/>
      <top/>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ck">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right style="thick">
        <color indexed="64"/>
      </right>
      <top style="thick">
        <color indexed="64"/>
      </top>
      <bottom style="thick">
        <color indexed="64"/>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s>
  <cellStyleXfs count="1">
    <xf numFmtId="0" fontId="0" fillId="0" borderId="0"/>
  </cellStyleXfs>
  <cellXfs count="40">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3" fillId="3" borderId="0" xfId="0" applyFont="1" applyFill="1"/>
    <xf numFmtId="0" fontId="0" fillId="3" borderId="0" xfId="0" applyFill="1"/>
    <xf numFmtId="0" fontId="1" fillId="0" borderId="0" xfId="0" applyFont="1"/>
    <xf numFmtId="0" fontId="5" fillId="0" borderId="0" xfId="0" applyFont="1" applyAlignment="1">
      <alignment vertical="center"/>
    </xf>
    <xf numFmtId="164" fontId="0" fillId="0" borderId="0" xfId="0" applyNumberFormat="1" applyAlignment="1">
      <alignment horizontal="center"/>
    </xf>
    <xf numFmtId="0" fontId="0" fillId="0" borderId="0" xfId="0" applyAlignment="1">
      <alignmen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4" fillId="0" borderId="5"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64" fontId="4" fillId="0" borderId="3" xfId="0" applyNumberFormat="1" applyFont="1" applyBorder="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vertical="center" wrapText="1"/>
    </xf>
    <xf numFmtId="0" fontId="8" fillId="0" borderId="13" xfId="0" applyFont="1" applyBorder="1" applyAlignment="1">
      <alignment horizontal="center" vertical="center"/>
    </xf>
    <xf numFmtId="0" fontId="9" fillId="0" borderId="11" xfId="0" applyFont="1" applyBorder="1" applyAlignment="1">
      <alignment vertical="center"/>
    </xf>
    <xf numFmtId="0" fontId="9" fillId="0" borderId="13" xfId="0" applyFont="1" applyBorder="1" applyAlignment="1">
      <alignment horizontal="center" vertical="center"/>
    </xf>
    <xf numFmtId="10" fontId="9" fillId="0" borderId="13" xfId="0" applyNumberFormat="1" applyFont="1" applyBorder="1" applyAlignment="1">
      <alignment horizontal="center" vertical="center"/>
    </xf>
    <xf numFmtId="0" fontId="10" fillId="0" borderId="0" xfId="0" applyFont="1"/>
    <xf numFmtId="0" fontId="11" fillId="0" borderId="0" xfId="0" applyFont="1" applyAlignment="1">
      <alignment vertical="center"/>
    </xf>
    <xf numFmtId="0" fontId="1" fillId="4" borderId="0" xfId="0" applyFont="1" applyFill="1" applyAlignment="1">
      <alignment horizontal="left" wrapText="1"/>
    </xf>
    <xf numFmtId="0" fontId="0" fillId="0" borderId="0" xfId="0"/>
    <xf numFmtId="0" fontId="1" fillId="2" borderId="0" xfId="0" applyFont="1" applyFill="1" applyAlignment="1">
      <alignment horizontal="center"/>
    </xf>
    <xf numFmtId="0" fontId="2" fillId="3" borderId="0" xfId="0" applyFont="1" applyFill="1" applyAlignment="1">
      <alignment horizontal="center" vertical="center" textRotation="90"/>
    </xf>
    <xf numFmtId="0" fontId="0" fillId="0" borderId="0" xfId="0" applyAlignment="1">
      <alignment horizontal="center"/>
    </xf>
    <xf numFmtId="0" fontId="6" fillId="0" borderId="6" xfId="0" applyFont="1" applyBorder="1" applyAlignment="1">
      <alignment vertical="center" wrapText="1"/>
    </xf>
    <xf numFmtId="0" fontId="6" fillId="0" borderId="5" xfId="0" applyFont="1" applyBorder="1" applyAlignment="1">
      <alignment vertical="center" wrapText="1"/>
    </xf>
    <xf numFmtId="0" fontId="6" fillId="0" borderId="8"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4" xfId="0" applyFont="1" applyBorder="1" applyAlignment="1">
      <alignment horizontal="center" vertical="center"/>
    </xf>
    <xf numFmtId="0" fontId="8" fillId="0" borderId="12"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CF3D91-B64A-CD4F-90D5-648ED41DE032}">
  <we:reference id="wa200010725" version="1.0.0.1" store="en-US" storeType="OMEX"/>
  <we:alternateReferences>
    <we:reference id="WA200010725" version="1.0.0.1" store="" storeType="OMEX"/>
  </we:alternateReferences>
  <we:properties>
    <we:property name="claude.fileId" value="&quot;8918740f-1834-4024-b2af-15a72ab5637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opLeftCell="E1" workbookViewId="0">
      <selection activeCell="H17" sqref="H17"/>
    </sheetView>
  </sheetViews>
  <sheetFormatPr baseColWidth="10" defaultColWidth="8.83203125" defaultRowHeight="15" x14ac:dyDescent="0.2"/>
  <cols>
    <col min="5" max="5" width="64.6640625" bestFit="1" customWidth="1"/>
    <col min="6" max="7" width="12.83203125" bestFit="1" customWidth="1"/>
    <col min="8" max="8" width="24.6640625" bestFit="1" customWidth="1"/>
  </cols>
  <sheetData>
    <row r="1" spans="1:8" x14ac:dyDescent="0.2">
      <c r="A1" t="s">
        <v>0</v>
      </c>
      <c r="B1" t="s">
        <v>1</v>
      </c>
      <c r="C1" t="s">
        <v>2</v>
      </c>
      <c r="D1" t="s">
        <v>3</v>
      </c>
      <c r="E1" t="s">
        <v>4</v>
      </c>
      <c r="F1" t="s">
        <v>5</v>
      </c>
      <c r="G1" t="s">
        <v>6</v>
      </c>
      <c r="H1" t="s">
        <v>7</v>
      </c>
    </row>
    <row r="2" spans="1:8" x14ac:dyDescent="0.2">
      <c r="A2" t="s">
        <v>8</v>
      </c>
      <c r="B2">
        <v>1</v>
      </c>
      <c r="C2" t="s">
        <v>9</v>
      </c>
      <c r="D2" t="s">
        <v>10</v>
      </c>
      <c r="E2" t="s">
        <v>78</v>
      </c>
      <c r="F2" t="s">
        <v>126</v>
      </c>
      <c r="G2" t="s">
        <v>127</v>
      </c>
    </row>
    <row r="3" spans="1:8" x14ac:dyDescent="0.2">
      <c r="A3" t="s">
        <v>8</v>
      </c>
      <c r="B3">
        <v>2</v>
      </c>
      <c r="C3" t="s">
        <v>9</v>
      </c>
      <c r="D3" t="s">
        <v>57</v>
      </c>
      <c r="E3" t="s">
        <v>69</v>
      </c>
      <c r="F3" t="s">
        <v>128</v>
      </c>
      <c r="G3" t="s">
        <v>129</v>
      </c>
    </row>
    <row r="4" spans="1:8" x14ac:dyDescent="0.2">
      <c r="A4" t="s">
        <v>8</v>
      </c>
      <c r="B4">
        <v>3</v>
      </c>
      <c r="E4" t="s">
        <v>70</v>
      </c>
      <c r="F4" t="s">
        <v>130</v>
      </c>
      <c r="G4" t="s">
        <v>131</v>
      </c>
    </row>
    <row r="5" spans="1:8" x14ac:dyDescent="0.2">
      <c r="A5" t="s">
        <v>8</v>
      </c>
      <c r="B5">
        <v>4</v>
      </c>
      <c r="E5" t="s">
        <v>71</v>
      </c>
      <c r="F5" t="s">
        <v>132</v>
      </c>
      <c r="G5" t="s">
        <v>133</v>
      </c>
    </row>
    <row r="6" spans="1:8" x14ac:dyDescent="0.2">
      <c r="A6" t="s">
        <v>8</v>
      </c>
      <c r="B6">
        <v>5</v>
      </c>
      <c r="E6" t="s">
        <v>72</v>
      </c>
      <c r="F6" t="s">
        <v>134</v>
      </c>
      <c r="G6" t="s">
        <v>135</v>
      </c>
    </row>
    <row r="7" spans="1:8" x14ac:dyDescent="0.2">
      <c r="A7" t="s">
        <v>8</v>
      </c>
      <c r="B7">
        <v>6</v>
      </c>
      <c r="E7" t="s">
        <v>73</v>
      </c>
      <c r="F7" t="s">
        <v>136</v>
      </c>
      <c r="G7" t="s">
        <v>137</v>
      </c>
    </row>
    <row r="8" spans="1:8" x14ac:dyDescent="0.2">
      <c r="A8" t="s">
        <v>8</v>
      </c>
      <c r="B8">
        <v>7</v>
      </c>
      <c r="D8" t="s">
        <v>74</v>
      </c>
      <c r="E8" t="s">
        <v>75</v>
      </c>
      <c r="F8" t="s">
        <v>138</v>
      </c>
      <c r="G8" t="s">
        <v>139</v>
      </c>
    </row>
    <row r="9" spans="1:8" x14ac:dyDescent="0.2">
      <c r="A9" t="s">
        <v>8</v>
      </c>
      <c r="B9">
        <v>8</v>
      </c>
      <c r="E9" t="s">
        <v>76</v>
      </c>
      <c r="F9" t="s">
        <v>140</v>
      </c>
      <c r="G9" t="s">
        <v>141</v>
      </c>
    </row>
    <row r="10" spans="1:8" x14ac:dyDescent="0.2">
      <c r="A10" t="s">
        <v>8</v>
      </c>
      <c r="B10">
        <v>9</v>
      </c>
      <c r="E10" t="s">
        <v>77</v>
      </c>
      <c r="F10" t="s">
        <v>142</v>
      </c>
      <c r="G10" t="s">
        <v>143</v>
      </c>
    </row>
    <row r="11" spans="1:8" ht="16" x14ac:dyDescent="0.2">
      <c r="E11" s="22" t="s">
        <v>152</v>
      </c>
      <c r="F11" t="s">
        <v>153</v>
      </c>
      <c r="G11" t="s">
        <v>154</v>
      </c>
    </row>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heetViews>
  <sheetFormatPr baseColWidth="10" defaultColWidth="8.83203125" defaultRowHeight="15" x14ac:dyDescent="0.2"/>
  <cols>
    <col min="1" max="1" width="11.33203125" bestFit="1" customWidth="1"/>
    <col min="2" max="2" width="14.1640625" bestFit="1" customWidth="1"/>
    <col min="4" max="4" width="12.33203125" bestFit="1" customWidth="1"/>
  </cols>
  <sheetData>
    <row r="1" spans="1:4" x14ac:dyDescent="0.2">
      <c r="A1" t="s">
        <v>12</v>
      </c>
      <c r="B1" t="s">
        <v>13</v>
      </c>
      <c r="C1" t="s">
        <v>14</v>
      </c>
      <c r="D1" t="s">
        <v>15</v>
      </c>
    </row>
    <row r="2" spans="1:4" x14ac:dyDescent="0.2">
      <c r="A2" t="s">
        <v>16</v>
      </c>
      <c r="B2" t="s">
        <v>17</v>
      </c>
      <c r="C2" t="s">
        <v>11</v>
      </c>
      <c r="D2" t="s">
        <v>18</v>
      </c>
    </row>
    <row r="3" spans="1:4" x14ac:dyDescent="0.2">
      <c r="A3" t="s">
        <v>19</v>
      </c>
      <c r="B3" t="s">
        <v>20</v>
      </c>
      <c r="C3" t="s">
        <v>9</v>
      </c>
      <c r="D3" t="s">
        <v>21</v>
      </c>
    </row>
    <row r="4" spans="1:4" x14ac:dyDescent="0.2">
      <c r="A4" t="s">
        <v>22</v>
      </c>
      <c r="B4" t="s">
        <v>23</v>
      </c>
      <c r="C4" t="s">
        <v>24</v>
      </c>
      <c r="D4" t="s">
        <v>25</v>
      </c>
    </row>
    <row r="5" spans="1:4" x14ac:dyDescent="0.2">
      <c r="A5" t="s">
        <v>26</v>
      </c>
      <c r="B5" t="s">
        <v>27</v>
      </c>
      <c r="D5" t="s">
        <v>28</v>
      </c>
    </row>
    <row r="6" spans="1:4" x14ac:dyDescent="0.2">
      <c r="A6" t="s">
        <v>29</v>
      </c>
      <c r="B6" t="s">
        <v>30</v>
      </c>
      <c r="D6" t="s">
        <v>31</v>
      </c>
    </row>
    <row r="7" spans="1:4" x14ac:dyDescent="0.2">
      <c r="A7" t="s">
        <v>32</v>
      </c>
      <c r="B7" t="s">
        <v>33</v>
      </c>
    </row>
    <row r="8" spans="1:4" x14ac:dyDescent="0.2">
      <c r="A8" t="s">
        <v>34</v>
      </c>
      <c r="B8" t="s">
        <v>35</v>
      </c>
    </row>
    <row r="9" spans="1:4" x14ac:dyDescent="0.2">
      <c r="A9"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B353D-2B41-0541-A620-70A88520BED8}">
  <dimension ref="A1:Q57"/>
  <sheetViews>
    <sheetView tabSelected="1" workbookViewId="0">
      <selection activeCell="B16" sqref="B1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tr">
        <f>Master!E2</f>
        <v>Suspected Overdoses by Zip Code, 2024 vs. 2025</v>
      </c>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tbl-1</v>
      </c>
    </row>
    <row r="4" spans="1:17" x14ac:dyDescent="0.2">
      <c r="A4" s="6" t="s">
        <v>6</v>
      </c>
      <c r="B4" t="str">
        <f>IF($B$1="","",_xlfn.XLOOKUP($B$1,Master!$E$2:$E$321,Master!$G$2:$G$321,""))</f>
        <v>fig-1</v>
      </c>
      <c r="E4" s="5"/>
      <c r="F4" s="4" t="s">
        <v>55</v>
      </c>
      <c r="G4" s="4" t="s">
        <v>22</v>
      </c>
      <c r="H4" s="4" t="s">
        <v>22</v>
      </c>
      <c r="I4" s="4"/>
      <c r="J4" s="4"/>
      <c r="K4" s="4"/>
      <c r="L4" s="4"/>
      <c r="M4" s="4"/>
      <c r="N4" s="4"/>
      <c r="O4" s="4"/>
      <c r="P4" s="4"/>
      <c r="Q4" s="4"/>
    </row>
    <row r="5" spans="1:17" x14ac:dyDescent="0.2">
      <c r="A5" s="26" t="s">
        <v>38</v>
      </c>
      <c r="B5" s="25"/>
      <c r="E5" s="27" t="s">
        <v>54</v>
      </c>
      <c r="F5" t="s">
        <v>82</v>
      </c>
      <c r="G5">
        <v>2024</v>
      </c>
      <c r="H5">
        <v>2025</v>
      </c>
    </row>
    <row r="6" spans="1:17" ht="15" customHeight="1" x14ac:dyDescent="0.2">
      <c r="A6" t="s">
        <v>39</v>
      </c>
      <c r="B6" t="b">
        <v>0</v>
      </c>
      <c r="E6" s="25"/>
      <c r="F6" t="s">
        <v>58</v>
      </c>
      <c r="G6" s="2">
        <v>242</v>
      </c>
      <c r="H6" s="2">
        <v>312</v>
      </c>
      <c r="I6" s="2"/>
      <c r="J6" s="2"/>
      <c r="K6" s="2"/>
      <c r="L6" s="2"/>
      <c r="M6" s="2"/>
      <c r="N6" s="2"/>
      <c r="O6" s="2"/>
    </row>
    <row r="7" spans="1:17" ht="15.75" customHeight="1" x14ac:dyDescent="0.2">
      <c r="E7" s="25"/>
      <c r="F7" t="s">
        <v>59</v>
      </c>
      <c r="G7" s="2">
        <v>104</v>
      </c>
      <c r="H7" s="2">
        <v>83</v>
      </c>
      <c r="I7" s="2"/>
      <c r="J7" s="2"/>
      <c r="K7" s="2"/>
      <c r="L7" s="2"/>
      <c r="M7" s="2"/>
      <c r="N7" s="2"/>
      <c r="O7" s="2"/>
    </row>
    <row r="8" spans="1:17" x14ac:dyDescent="0.2">
      <c r="E8" s="25"/>
      <c r="F8" t="s">
        <v>60</v>
      </c>
      <c r="G8" s="2">
        <v>21</v>
      </c>
      <c r="H8" s="2">
        <v>33</v>
      </c>
      <c r="I8" s="2"/>
      <c r="J8" s="2"/>
      <c r="K8" s="2"/>
      <c r="L8" s="2"/>
      <c r="M8" s="2"/>
      <c r="N8" s="2"/>
      <c r="O8" s="2"/>
    </row>
    <row r="9" spans="1:17" x14ac:dyDescent="0.2">
      <c r="A9" s="26" t="s">
        <v>40</v>
      </c>
      <c r="B9" s="25"/>
      <c r="E9" s="25"/>
      <c r="F9" t="s">
        <v>61</v>
      </c>
      <c r="G9" s="2">
        <v>27</v>
      </c>
      <c r="H9" s="2">
        <v>29</v>
      </c>
      <c r="I9" s="2"/>
      <c r="J9" s="2"/>
      <c r="K9" s="2"/>
      <c r="L9" s="2"/>
      <c r="M9" s="2"/>
      <c r="N9" s="2"/>
      <c r="O9" s="2"/>
    </row>
    <row r="10" spans="1:17" x14ac:dyDescent="0.2">
      <c r="A10" t="s">
        <v>15</v>
      </c>
      <c r="B10" t="s">
        <v>68</v>
      </c>
      <c r="E10" s="25"/>
      <c r="F10" t="s">
        <v>62</v>
      </c>
      <c r="G10" s="2">
        <v>21</v>
      </c>
      <c r="H10" s="2">
        <v>25</v>
      </c>
    </row>
    <row r="11" spans="1:17" x14ac:dyDescent="0.2">
      <c r="A11" t="s">
        <v>41</v>
      </c>
      <c r="B11" t="s">
        <v>82</v>
      </c>
      <c r="E11" s="25"/>
      <c r="F11" t="s">
        <v>63</v>
      </c>
      <c r="G11" s="2">
        <v>42</v>
      </c>
      <c r="H11" s="2">
        <v>20</v>
      </c>
      <c r="I11" s="2"/>
      <c r="J11" s="1"/>
      <c r="K11" s="1"/>
      <c r="L11" s="1"/>
      <c r="M11" s="1"/>
      <c r="N11" s="1"/>
    </row>
    <row r="12" spans="1:17" x14ac:dyDescent="0.2">
      <c r="A12" t="s">
        <v>42</v>
      </c>
      <c r="E12" s="25"/>
      <c r="F12" s="3" t="s">
        <v>64</v>
      </c>
      <c r="G12" s="1">
        <v>8</v>
      </c>
      <c r="H12" s="1">
        <v>11</v>
      </c>
      <c r="I12" s="2"/>
      <c r="J12" s="2"/>
      <c r="K12" s="2"/>
      <c r="L12" s="2"/>
    </row>
    <row r="13" spans="1:17" x14ac:dyDescent="0.2">
      <c r="A13" t="s">
        <v>43</v>
      </c>
      <c r="E13" s="25"/>
      <c r="F13" t="s">
        <v>65</v>
      </c>
      <c r="G13" s="2">
        <v>14</v>
      </c>
      <c r="H13" s="2">
        <v>10</v>
      </c>
    </row>
    <row r="14" spans="1:17" x14ac:dyDescent="0.2">
      <c r="A14" t="s">
        <v>45</v>
      </c>
      <c r="E14" s="25"/>
      <c r="F14" t="s">
        <v>66</v>
      </c>
      <c r="G14" s="2">
        <v>4</v>
      </c>
      <c r="H14" s="2">
        <v>10</v>
      </c>
    </row>
    <row r="15" spans="1:17" x14ac:dyDescent="0.2">
      <c r="A15" t="s">
        <v>46</v>
      </c>
      <c r="B15" t="b">
        <v>1</v>
      </c>
      <c r="E15" s="25"/>
      <c r="F15" t="s">
        <v>67</v>
      </c>
      <c r="G15" s="2">
        <v>13</v>
      </c>
      <c r="H15" s="2">
        <v>8</v>
      </c>
    </row>
    <row r="16" spans="1:17" x14ac:dyDescent="0.2">
      <c r="A16" t="s">
        <v>52</v>
      </c>
      <c r="B16" t="b">
        <v>1</v>
      </c>
      <c r="E16" s="25"/>
    </row>
    <row r="17" spans="1:11" x14ac:dyDescent="0.2">
      <c r="E17" s="25"/>
    </row>
    <row r="18" spans="1:11" x14ac:dyDescent="0.2">
      <c r="A18" s="26" t="s">
        <v>51</v>
      </c>
      <c r="B18" s="25"/>
      <c r="E18" s="25"/>
    </row>
    <row r="19" spans="1:11" x14ac:dyDescent="0.2">
      <c r="A19" t="s">
        <v>50</v>
      </c>
      <c r="B19" s="7" t="s">
        <v>79</v>
      </c>
      <c r="E19" s="25"/>
    </row>
    <row r="20" spans="1:11" x14ac:dyDescent="0.2">
      <c r="E20" s="25"/>
      <c r="F20" s="2"/>
      <c r="G20" s="2"/>
      <c r="H20" s="2"/>
    </row>
    <row r="21" spans="1:11" x14ac:dyDescent="0.2">
      <c r="A21" s="28" t="s">
        <v>49</v>
      </c>
      <c r="B21" s="25"/>
      <c r="E21" s="25"/>
      <c r="F21" s="2"/>
      <c r="G21" s="2"/>
      <c r="H21" s="2"/>
    </row>
    <row r="22" spans="1:11" x14ac:dyDescent="0.2">
      <c r="A22" t="s">
        <v>48</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7">
    <mergeCell ref="B1:O1"/>
    <mergeCell ref="A5:B5"/>
    <mergeCell ref="E5:E57"/>
    <mergeCell ref="A9:B9"/>
    <mergeCell ref="A18:B18"/>
    <mergeCell ref="A21:B21"/>
    <mergeCell ref="A27:B27"/>
  </mergeCells>
  <dataValidations count="3">
    <dataValidation type="list" allowBlank="1" showInputMessage="1" showErrorMessage="1" sqref="B10" xr:uid="{FE1F5EE3-FA46-3547-9B96-3D99856DCC37}">
      <formula1>"Line,Clustered Bar,Stacked Bar,Bar,Horizontal Stacked Bar"</formula1>
    </dataValidation>
    <dataValidation type="list" allowBlank="1" showInputMessage="1" showErrorMessage="1" sqref="B2" xr:uid="{4127A0F9-E56A-F546-B8FF-2EC986E26D0B}">
      <formula1>"Table,Figure,Both"</formula1>
    </dataValidation>
    <dataValidation type="list" allowBlank="1" showInputMessage="1" showErrorMessage="1" sqref="B6 B15:B16" xr:uid="{0BC56128-DE5B-4E46-A7C8-5A49609A5C99}">
      <formula1>"True,False"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6E759-1715-42DC-8A51-DCF1A72985EF}">
  <dimension ref="A1:Q57"/>
  <sheetViews>
    <sheetView workbookViewId="0">
      <selection activeCell="U17" sqref="U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
        <v>69</v>
      </c>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tbl-2</v>
      </c>
    </row>
    <row r="4" spans="1:17" x14ac:dyDescent="0.2">
      <c r="A4" s="6" t="s">
        <v>6</v>
      </c>
      <c r="B4" t="str">
        <f>IF($B$1="","",_xlfn.XLOOKUP($B$1,Master!$E$2:$E$321,Master!$G$2:$G$321,""))</f>
        <v>fig-2</v>
      </c>
      <c r="E4" s="5"/>
      <c r="F4" s="4" t="s">
        <v>55</v>
      </c>
      <c r="G4" s="4" t="s">
        <v>19</v>
      </c>
      <c r="H4" s="4"/>
      <c r="I4" s="4"/>
      <c r="J4" s="4"/>
      <c r="K4" s="4"/>
      <c r="L4" s="4"/>
      <c r="M4" s="4"/>
      <c r="N4" s="4"/>
      <c r="O4" s="4"/>
      <c r="P4" s="4"/>
      <c r="Q4" s="4"/>
    </row>
    <row r="5" spans="1:17" x14ac:dyDescent="0.2">
      <c r="A5" s="26" t="s">
        <v>38</v>
      </c>
      <c r="B5" s="25"/>
      <c r="E5" s="27" t="s">
        <v>54</v>
      </c>
      <c r="F5" t="s">
        <v>81</v>
      </c>
      <c r="G5" t="s">
        <v>1</v>
      </c>
    </row>
    <row r="6" spans="1:17" ht="15" customHeight="1" x14ac:dyDescent="0.2">
      <c r="A6" t="s">
        <v>39</v>
      </c>
      <c r="B6" t="b">
        <v>0</v>
      </c>
      <c r="E6" s="25"/>
      <c r="F6">
        <v>2021</v>
      </c>
      <c r="G6" s="2">
        <v>143</v>
      </c>
      <c r="H6" s="2"/>
      <c r="I6" s="2"/>
      <c r="J6" s="2"/>
      <c r="K6" s="2"/>
      <c r="L6" s="2"/>
      <c r="M6" s="2"/>
      <c r="N6" s="2"/>
      <c r="O6" s="2"/>
    </row>
    <row r="7" spans="1:17" ht="15.75" customHeight="1" x14ac:dyDescent="0.2">
      <c r="E7" s="25"/>
      <c r="F7">
        <v>2022</v>
      </c>
      <c r="G7" s="2">
        <v>141</v>
      </c>
      <c r="H7" s="2"/>
      <c r="I7" s="2"/>
      <c r="J7" s="2"/>
      <c r="K7" s="2"/>
      <c r="L7" s="2"/>
      <c r="M7" s="2"/>
      <c r="N7" s="2"/>
      <c r="O7" s="2"/>
    </row>
    <row r="8" spans="1:17" x14ac:dyDescent="0.2">
      <c r="E8" s="25"/>
      <c r="F8">
        <v>2023</v>
      </c>
      <c r="G8" s="2">
        <v>115</v>
      </c>
      <c r="H8" s="2"/>
      <c r="I8" s="2"/>
      <c r="J8" s="2"/>
      <c r="K8" s="2"/>
      <c r="L8" s="2"/>
      <c r="M8" s="2"/>
      <c r="N8" s="2"/>
      <c r="O8" s="2"/>
    </row>
    <row r="9" spans="1:17" x14ac:dyDescent="0.2">
      <c r="A9" s="26" t="s">
        <v>40</v>
      </c>
      <c r="B9" s="25"/>
      <c r="E9" s="25"/>
      <c r="F9">
        <v>2024</v>
      </c>
      <c r="G9" s="2">
        <v>78</v>
      </c>
      <c r="H9" s="2"/>
      <c r="I9" s="2"/>
      <c r="J9" s="2"/>
      <c r="K9" s="2"/>
      <c r="L9" s="2"/>
      <c r="M9" s="2"/>
      <c r="N9" s="2"/>
      <c r="O9" s="2"/>
    </row>
    <row r="10" spans="1:17" x14ac:dyDescent="0.2">
      <c r="A10" t="s">
        <v>15</v>
      </c>
      <c r="B10" t="s">
        <v>80</v>
      </c>
      <c r="E10" s="25"/>
      <c r="G10" s="2"/>
    </row>
    <row r="11" spans="1:17" x14ac:dyDescent="0.2">
      <c r="A11" t="s">
        <v>41</v>
      </c>
      <c r="B11" t="s">
        <v>81</v>
      </c>
      <c r="E11" s="25"/>
      <c r="G11" s="2"/>
      <c r="H11" s="2"/>
      <c r="I11" s="2"/>
      <c r="J11" s="1"/>
      <c r="K11" s="1"/>
      <c r="L11" s="1"/>
      <c r="M11" s="1"/>
      <c r="N11" s="1"/>
    </row>
    <row r="12" spans="1:17" x14ac:dyDescent="0.2">
      <c r="A12" t="s">
        <v>42</v>
      </c>
      <c r="E12" s="25"/>
      <c r="F12" s="3"/>
      <c r="G12" s="1"/>
      <c r="H12" s="1"/>
      <c r="I12" s="2"/>
      <c r="J12" s="2"/>
      <c r="K12" s="2"/>
      <c r="L12" s="2"/>
    </row>
    <row r="13" spans="1:17" x14ac:dyDescent="0.2">
      <c r="A13" t="s">
        <v>43</v>
      </c>
      <c r="E13" s="25"/>
    </row>
    <row r="14" spans="1:17" x14ac:dyDescent="0.2">
      <c r="A14" t="s">
        <v>45</v>
      </c>
      <c r="E14" s="25"/>
    </row>
    <row r="15" spans="1:17" x14ac:dyDescent="0.2">
      <c r="A15" t="s">
        <v>46</v>
      </c>
      <c r="B15" t="b">
        <v>1</v>
      </c>
      <c r="E15" s="25"/>
    </row>
    <row r="16" spans="1:17" x14ac:dyDescent="0.2">
      <c r="A16" t="s">
        <v>52</v>
      </c>
      <c r="B16" t="b">
        <v>1</v>
      </c>
      <c r="E16" s="25"/>
    </row>
    <row r="17" spans="1:11" x14ac:dyDescent="0.2">
      <c r="E17" s="25"/>
    </row>
    <row r="18" spans="1:11" x14ac:dyDescent="0.2">
      <c r="A18" s="26" t="s">
        <v>51</v>
      </c>
      <c r="B18" s="25"/>
      <c r="E18" s="25"/>
    </row>
    <row r="19" spans="1:11" x14ac:dyDescent="0.2">
      <c r="A19" t="s">
        <v>50</v>
      </c>
      <c r="E19" s="25"/>
    </row>
    <row r="20" spans="1:11" x14ac:dyDescent="0.2">
      <c r="E20" s="25"/>
      <c r="F20" s="2"/>
      <c r="G20" s="2"/>
      <c r="H20" s="2"/>
    </row>
    <row r="21" spans="1:11" x14ac:dyDescent="0.2">
      <c r="A21" s="28" t="s">
        <v>49</v>
      </c>
      <c r="B21" s="25"/>
      <c r="E21" s="25"/>
      <c r="F21" s="2"/>
      <c r="G21" s="2"/>
      <c r="H21" s="2"/>
    </row>
    <row r="22" spans="1:11" x14ac:dyDescent="0.2">
      <c r="A22" t="s">
        <v>48</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7">
    <mergeCell ref="B1:O1"/>
    <mergeCell ref="A5:B5"/>
    <mergeCell ref="E5:E57"/>
    <mergeCell ref="A9:B9"/>
    <mergeCell ref="A18:B18"/>
    <mergeCell ref="A21:B21"/>
    <mergeCell ref="A27:B27"/>
  </mergeCells>
  <dataValidations count="3">
    <dataValidation type="list" allowBlank="1" showInputMessage="1" showErrorMessage="1" sqref="B10" xr:uid="{5C319817-F4DC-4FC2-B1C8-CBC80EDDEFDF}">
      <formula1>"Line,Clustered Bar,Stacked Bar,Bar,Horizontal Stacked Bar"</formula1>
    </dataValidation>
    <dataValidation type="list" allowBlank="1" showInputMessage="1" showErrorMessage="1" sqref="B2" xr:uid="{1FE18D60-8E4F-4461-8A7F-391A6FF41149}">
      <formula1>"Table,Figure,Both"</formula1>
    </dataValidation>
    <dataValidation type="list" allowBlank="1" showInputMessage="1" showErrorMessage="1" sqref="B6 B15:B16" xr:uid="{D2A64FBC-2E57-4B39-969B-461D756E05C7}">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AC6A54F-749E-4C05-A234-53C14DB4B6CF}">
          <x14:formula1>
            <xm:f>Master!$E$2:$E$10</xm:f>
          </x14:formula1>
          <xm:sqref>B1:O1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E1071-D4B0-487C-A51A-E94F005F7421}">
  <dimension ref="A1:Q57"/>
  <sheetViews>
    <sheetView workbookViewId="0">
      <selection activeCell="G29" sqref="G2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
        <v>70</v>
      </c>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tbl-3</v>
      </c>
    </row>
    <row r="4" spans="1:17" x14ac:dyDescent="0.2">
      <c r="A4" s="6" t="s">
        <v>6</v>
      </c>
      <c r="B4" t="str">
        <f>IF($B$1="","",_xlfn.XLOOKUP($B$1,Master!$E$2:$E$321,Master!$G$2:$G$321,""))</f>
        <v>fig-3</v>
      </c>
      <c r="E4" s="5"/>
      <c r="F4" s="4" t="s">
        <v>55</v>
      </c>
      <c r="G4" s="4" t="s">
        <v>19</v>
      </c>
      <c r="H4" s="4" t="s">
        <v>19</v>
      </c>
      <c r="I4" s="4" t="s">
        <v>19</v>
      </c>
      <c r="J4" s="4" t="s">
        <v>19</v>
      </c>
      <c r="K4" s="4"/>
      <c r="L4" s="4"/>
      <c r="M4" s="4"/>
      <c r="N4" s="4"/>
      <c r="O4" s="4"/>
      <c r="P4" s="4"/>
      <c r="Q4" s="4"/>
    </row>
    <row r="5" spans="1:17" x14ac:dyDescent="0.2">
      <c r="A5" s="26" t="s">
        <v>38</v>
      </c>
      <c r="B5" s="25"/>
      <c r="E5" s="27" t="s">
        <v>54</v>
      </c>
      <c r="F5" t="s">
        <v>81</v>
      </c>
      <c r="G5" t="s">
        <v>83</v>
      </c>
      <c r="H5" t="s">
        <v>84</v>
      </c>
      <c r="I5" t="s">
        <v>85</v>
      </c>
      <c r="J5" t="s">
        <v>86</v>
      </c>
    </row>
    <row r="6" spans="1:17" ht="15" customHeight="1" x14ac:dyDescent="0.2">
      <c r="A6" t="s">
        <v>39</v>
      </c>
      <c r="B6" t="b">
        <v>0</v>
      </c>
      <c r="E6" s="25"/>
      <c r="F6">
        <v>2021</v>
      </c>
      <c r="G6" s="2">
        <v>36</v>
      </c>
      <c r="H6" s="2">
        <v>38</v>
      </c>
      <c r="I6" s="2">
        <v>24</v>
      </c>
      <c r="J6" s="2">
        <v>22</v>
      </c>
      <c r="K6" s="2"/>
      <c r="L6" s="2"/>
      <c r="M6" s="2"/>
      <c r="N6" s="2"/>
      <c r="O6" s="2"/>
    </row>
    <row r="7" spans="1:17" ht="15.75" customHeight="1" x14ac:dyDescent="0.2">
      <c r="E7" s="25"/>
      <c r="F7">
        <v>2022</v>
      </c>
      <c r="G7" s="2">
        <v>37</v>
      </c>
      <c r="H7" s="2">
        <v>36</v>
      </c>
      <c r="I7" s="2">
        <v>46</v>
      </c>
      <c r="J7" s="2">
        <v>17</v>
      </c>
      <c r="K7" s="2"/>
      <c r="L7" s="2"/>
      <c r="M7" s="2"/>
      <c r="N7" s="2"/>
      <c r="O7" s="2"/>
    </row>
    <row r="8" spans="1:17" x14ac:dyDescent="0.2">
      <c r="E8" s="25"/>
      <c r="F8">
        <v>2023</v>
      </c>
      <c r="G8" s="2">
        <v>35</v>
      </c>
      <c r="H8" s="2">
        <v>39</v>
      </c>
      <c r="I8" s="2">
        <v>14</v>
      </c>
      <c r="J8" s="2">
        <v>20</v>
      </c>
      <c r="K8" s="2"/>
      <c r="L8" s="2"/>
      <c r="M8" s="2"/>
      <c r="N8" s="2"/>
      <c r="O8" s="2"/>
    </row>
    <row r="9" spans="1:17" x14ac:dyDescent="0.2">
      <c r="A9" s="26" t="s">
        <v>40</v>
      </c>
      <c r="B9" s="25"/>
      <c r="E9" s="25"/>
      <c r="F9">
        <v>2024</v>
      </c>
      <c r="G9" s="2">
        <v>35</v>
      </c>
      <c r="H9" s="2">
        <v>28</v>
      </c>
      <c r="I9" s="2">
        <v>31</v>
      </c>
      <c r="J9" s="2">
        <v>19</v>
      </c>
      <c r="K9" s="2"/>
      <c r="L9" s="2"/>
      <c r="M9" s="2"/>
      <c r="N9" s="2"/>
      <c r="O9" s="2"/>
    </row>
    <row r="10" spans="1:17" x14ac:dyDescent="0.2">
      <c r="A10" t="s">
        <v>15</v>
      </c>
      <c r="B10" t="s">
        <v>68</v>
      </c>
      <c r="E10" s="25"/>
      <c r="G10" s="2"/>
    </row>
    <row r="11" spans="1:17" x14ac:dyDescent="0.2">
      <c r="A11" t="s">
        <v>41</v>
      </c>
      <c r="B11" t="s">
        <v>81</v>
      </c>
      <c r="E11" s="25"/>
      <c r="G11" s="2"/>
      <c r="H11" s="2"/>
      <c r="I11" s="2"/>
      <c r="J11" s="1"/>
      <c r="K11" s="1"/>
      <c r="L11" s="1"/>
      <c r="M11" s="1"/>
      <c r="N11" s="1"/>
    </row>
    <row r="12" spans="1:17" x14ac:dyDescent="0.2">
      <c r="A12" t="s">
        <v>42</v>
      </c>
      <c r="E12" s="25"/>
      <c r="F12" s="3"/>
      <c r="G12" s="1"/>
      <c r="H12" s="1"/>
      <c r="I12" s="2"/>
      <c r="J12" s="2"/>
      <c r="K12" s="2"/>
      <c r="L12" s="2"/>
    </row>
    <row r="13" spans="1:17" x14ac:dyDescent="0.2">
      <c r="A13" t="s">
        <v>43</v>
      </c>
      <c r="E13" s="25"/>
    </row>
    <row r="14" spans="1:17" x14ac:dyDescent="0.2">
      <c r="A14" t="s">
        <v>45</v>
      </c>
      <c r="E14" s="25"/>
    </row>
    <row r="15" spans="1:17" x14ac:dyDescent="0.2">
      <c r="A15" t="s">
        <v>46</v>
      </c>
      <c r="B15" t="b">
        <v>1</v>
      </c>
      <c r="E15" s="25"/>
    </row>
    <row r="16" spans="1:17" x14ac:dyDescent="0.2">
      <c r="A16" t="s">
        <v>52</v>
      </c>
      <c r="B16" t="b">
        <v>1</v>
      </c>
      <c r="E16" s="25"/>
    </row>
    <row r="17" spans="1:11" x14ac:dyDescent="0.2">
      <c r="E17" s="25"/>
    </row>
    <row r="18" spans="1:11" x14ac:dyDescent="0.2">
      <c r="A18" s="26" t="s">
        <v>51</v>
      </c>
      <c r="B18" s="25"/>
      <c r="E18" s="25"/>
    </row>
    <row r="19" spans="1:11" x14ac:dyDescent="0.2">
      <c r="A19" t="s">
        <v>50</v>
      </c>
      <c r="B19" s="7" t="s">
        <v>87</v>
      </c>
      <c r="E19" s="25"/>
    </row>
    <row r="20" spans="1:11" x14ac:dyDescent="0.2">
      <c r="E20" s="25"/>
      <c r="F20" s="2"/>
      <c r="G20" s="2"/>
      <c r="H20" s="2"/>
    </row>
    <row r="21" spans="1:11" x14ac:dyDescent="0.2">
      <c r="A21" s="28" t="s">
        <v>49</v>
      </c>
      <c r="B21" s="25"/>
      <c r="E21" s="25"/>
      <c r="F21" s="2"/>
      <c r="G21" s="2"/>
      <c r="H21" s="2"/>
    </row>
    <row r="22" spans="1:11" x14ac:dyDescent="0.2">
      <c r="A22" t="s">
        <v>48</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7">
    <mergeCell ref="B1:O1"/>
    <mergeCell ref="A5:B5"/>
    <mergeCell ref="E5:E57"/>
    <mergeCell ref="A9:B9"/>
    <mergeCell ref="A18:B18"/>
    <mergeCell ref="A21:B21"/>
    <mergeCell ref="A27:B27"/>
  </mergeCells>
  <dataValidations count="3">
    <dataValidation type="list" allowBlank="1" showInputMessage="1" showErrorMessage="1" sqref="B10" xr:uid="{47FA50D5-A22A-4079-B341-B4EBAA7414C2}">
      <formula1>"Line,Clustered Bar,Stacked Bar,Bar,Horizontal Stacked Bar"</formula1>
    </dataValidation>
    <dataValidation type="list" allowBlank="1" showInputMessage="1" showErrorMessage="1" sqref="B2" xr:uid="{DE3F70F8-D1E8-4CC0-9100-58BFCAC93DE7}">
      <formula1>"Table,Figure,Both"</formula1>
    </dataValidation>
    <dataValidation type="list" allowBlank="1" showInputMessage="1" showErrorMessage="1" sqref="B6 B15:B16" xr:uid="{6CBDE485-10FE-41A2-8AFE-64E13463729A}">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B6EC0C9B-2268-4252-AB07-4C2417019DF9}">
          <x14:formula1>
            <xm:f>Master!$E$2:$E$10</xm:f>
          </x14:formula1>
          <xm:sqref>B1:O1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CA621-0693-4A93-ADF7-9E8D1FA6582A}">
  <dimension ref="A1:Q57"/>
  <sheetViews>
    <sheetView topLeftCell="A4" workbookViewId="0">
      <selection activeCell="H21" sqref="H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
        <v>71</v>
      </c>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tbl-4</v>
      </c>
    </row>
    <row r="4" spans="1:17" x14ac:dyDescent="0.2">
      <c r="A4" s="6" t="s">
        <v>6</v>
      </c>
      <c r="B4" t="str">
        <f>IF($B$1="","",_xlfn.XLOOKUP($B$1,Master!$E$2:$E$321,Master!$G$2:$G$321,""))</f>
        <v>fig-4</v>
      </c>
      <c r="E4" s="5"/>
      <c r="F4" s="4" t="s">
        <v>55</v>
      </c>
      <c r="G4" s="4" t="s">
        <v>22</v>
      </c>
      <c r="H4" s="4" t="s">
        <v>22</v>
      </c>
      <c r="I4" s="4" t="s">
        <v>22</v>
      </c>
      <c r="J4" s="4" t="s">
        <v>22</v>
      </c>
      <c r="K4" s="4"/>
      <c r="L4" s="4"/>
      <c r="M4" s="4"/>
      <c r="N4" s="4"/>
      <c r="O4" s="4"/>
      <c r="P4" s="4"/>
      <c r="Q4" s="4"/>
    </row>
    <row r="5" spans="1:17" x14ac:dyDescent="0.2">
      <c r="A5" s="26" t="s">
        <v>38</v>
      </c>
      <c r="B5" s="25"/>
      <c r="E5" s="27" t="s">
        <v>54</v>
      </c>
      <c r="G5">
        <v>2021</v>
      </c>
      <c r="H5">
        <v>2022</v>
      </c>
      <c r="I5">
        <v>2023</v>
      </c>
      <c r="J5">
        <v>2024</v>
      </c>
    </row>
    <row r="6" spans="1:17" ht="15" customHeight="1" x14ac:dyDescent="0.2">
      <c r="A6" t="s">
        <v>39</v>
      </c>
      <c r="B6" t="b">
        <v>0</v>
      </c>
      <c r="E6" s="25"/>
      <c r="F6" t="s">
        <v>88</v>
      </c>
      <c r="G6" s="2">
        <v>35.9</v>
      </c>
      <c r="H6" s="2">
        <v>35.1</v>
      </c>
      <c r="I6" s="2">
        <v>28.5</v>
      </c>
      <c r="J6" s="2">
        <v>19.3</v>
      </c>
      <c r="K6" s="2"/>
      <c r="L6" s="2"/>
      <c r="M6" s="2"/>
      <c r="N6" s="2"/>
      <c r="O6" s="2"/>
    </row>
    <row r="7" spans="1:17" ht="15.75" customHeight="1" x14ac:dyDescent="0.2">
      <c r="E7" s="25"/>
      <c r="G7" s="2"/>
      <c r="H7" s="2"/>
      <c r="I7" s="2"/>
      <c r="J7" s="2"/>
      <c r="K7" s="2"/>
      <c r="L7" s="2"/>
      <c r="M7" s="2"/>
      <c r="N7" s="2"/>
      <c r="O7" s="2"/>
    </row>
    <row r="8" spans="1:17" x14ac:dyDescent="0.2">
      <c r="E8" s="25"/>
      <c r="G8" s="2"/>
      <c r="H8" s="2"/>
      <c r="I8" s="2"/>
      <c r="J8" s="2"/>
      <c r="K8" s="2"/>
      <c r="L8" s="2"/>
      <c r="M8" s="2"/>
      <c r="N8" s="2"/>
      <c r="O8" s="2"/>
    </row>
    <row r="9" spans="1:17" x14ac:dyDescent="0.2">
      <c r="A9" s="26" t="s">
        <v>40</v>
      </c>
      <c r="B9" s="25"/>
      <c r="E9" s="25"/>
      <c r="G9" s="2"/>
      <c r="H9" s="2"/>
      <c r="I9" s="2"/>
      <c r="J9" s="2"/>
      <c r="K9" s="2"/>
      <c r="L9" s="2"/>
      <c r="M9" s="2"/>
      <c r="N9" s="2"/>
      <c r="O9" s="2"/>
    </row>
    <row r="10" spans="1:17" x14ac:dyDescent="0.2">
      <c r="A10" t="s">
        <v>15</v>
      </c>
      <c r="B10" t="s">
        <v>53</v>
      </c>
      <c r="E10" s="25"/>
      <c r="G10" s="2"/>
    </row>
    <row r="11" spans="1:17" x14ac:dyDescent="0.2">
      <c r="A11" t="s">
        <v>41</v>
      </c>
      <c r="B11" t="s">
        <v>44</v>
      </c>
      <c r="E11" s="25"/>
      <c r="G11" s="2"/>
      <c r="H11" s="2"/>
      <c r="I11" s="2"/>
      <c r="J11" s="1"/>
      <c r="K11" s="1"/>
      <c r="L11" s="1"/>
      <c r="M11" s="1"/>
      <c r="N11" s="1"/>
    </row>
    <row r="12" spans="1:17" x14ac:dyDescent="0.2">
      <c r="A12" t="s">
        <v>42</v>
      </c>
      <c r="E12" s="25"/>
      <c r="F12" s="3"/>
      <c r="G12" s="1"/>
      <c r="H12" s="1"/>
      <c r="I12" s="2"/>
      <c r="J12" s="2"/>
      <c r="K12" s="2"/>
      <c r="L12" s="2"/>
    </row>
    <row r="13" spans="1:17" x14ac:dyDescent="0.2">
      <c r="A13" t="s">
        <v>43</v>
      </c>
      <c r="E13" s="25"/>
    </row>
    <row r="14" spans="1:17" x14ac:dyDescent="0.2">
      <c r="A14" t="s">
        <v>45</v>
      </c>
      <c r="E14" s="25"/>
    </row>
    <row r="15" spans="1:17" x14ac:dyDescent="0.2">
      <c r="A15" t="s">
        <v>46</v>
      </c>
      <c r="B15" t="b">
        <v>1</v>
      </c>
      <c r="E15" s="25"/>
    </row>
    <row r="16" spans="1:17" x14ac:dyDescent="0.2">
      <c r="A16" t="s">
        <v>52</v>
      </c>
      <c r="B16" t="b">
        <v>1</v>
      </c>
      <c r="E16" s="25"/>
    </row>
    <row r="17" spans="1:11" x14ac:dyDescent="0.2">
      <c r="E17" s="25"/>
    </row>
    <row r="18" spans="1:11" x14ac:dyDescent="0.2">
      <c r="A18" s="26" t="s">
        <v>51</v>
      </c>
      <c r="B18" s="25"/>
      <c r="E18" s="25"/>
    </row>
    <row r="19" spans="1:11" x14ac:dyDescent="0.2">
      <c r="A19" t="s">
        <v>50</v>
      </c>
      <c r="B19" s="7" t="s">
        <v>89</v>
      </c>
      <c r="E19" s="25"/>
    </row>
    <row r="20" spans="1:11" x14ac:dyDescent="0.2">
      <c r="E20" s="25"/>
      <c r="F20" s="2"/>
      <c r="G20" s="2"/>
      <c r="H20" s="2"/>
    </row>
    <row r="21" spans="1:11" x14ac:dyDescent="0.2">
      <c r="A21" s="28" t="s">
        <v>49</v>
      </c>
      <c r="B21" s="25"/>
      <c r="E21" s="25"/>
      <c r="F21" s="2"/>
      <c r="G21" s="2"/>
      <c r="H21" s="2"/>
    </row>
    <row r="22" spans="1:11" x14ac:dyDescent="0.2">
      <c r="A22" t="s">
        <v>48</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7">
    <mergeCell ref="B1:O1"/>
    <mergeCell ref="A5:B5"/>
    <mergeCell ref="E5:E57"/>
    <mergeCell ref="A9:B9"/>
    <mergeCell ref="A18:B18"/>
    <mergeCell ref="A21:B21"/>
    <mergeCell ref="A27:B27"/>
  </mergeCells>
  <dataValidations count="3">
    <dataValidation type="list" allowBlank="1" showInputMessage="1" showErrorMessage="1" sqref="B10" xr:uid="{50893AF8-86DD-42F2-AEBA-C5129EA5286F}">
      <formula1>"Line,Clustered Bar,Stacked Bar,Bar,Horizontal Stacked Bar"</formula1>
    </dataValidation>
    <dataValidation type="list" allowBlank="1" showInputMessage="1" showErrorMessage="1" sqref="B2" xr:uid="{4CADC863-5AE7-44AA-B1B8-4D4472290616}">
      <formula1>"Table,Figure,Both"</formula1>
    </dataValidation>
    <dataValidation type="list" allowBlank="1" showInputMessage="1" showErrorMessage="1" sqref="B6 B15:B16" xr:uid="{034EE4CA-96EF-404A-9907-E563FF86FDB7}">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B00F56F-B757-4877-9932-D52FE1F5E3AB}">
          <x14:formula1>
            <xm:f>Master!$E$2:$E$10</xm:f>
          </x14:formula1>
          <xm:sqref>B1:O1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77D6-B0FC-4881-9C6F-D9E6ECFC7A6D}">
  <dimension ref="A1:Q57"/>
  <sheetViews>
    <sheetView workbookViewId="0">
      <selection activeCell="F17" sqref="F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
        <v>72</v>
      </c>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tbl-5</v>
      </c>
    </row>
    <row r="4" spans="1:17" x14ac:dyDescent="0.2">
      <c r="A4" s="6" t="s">
        <v>6</v>
      </c>
      <c r="B4" t="str">
        <f>IF($B$1="","",_xlfn.XLOOKUP($B$1,Master!$E$2:$E$321,Master!$G$2:$G$321,""))</f>
        <v>fig-5</v>
      </c>
      <c r="E4" s="5"/>
      <c r="F4" s="4" t="s">
        <v>55</v>
      </c>
      <c r="G4" s="4" t="s">
        <v>22</v>
      </c>
      <c r="H4" s="4" t="s">
        <v>22</v>
      </c>
      <c r="I4" s="4" t="s">
        <v>22</v>
      </c>
      <c r="J4" s="4" t="s">
        <v>22</v>
      </c>
      <c r="K4" s="4"/>
      <c r="L4" s="4"/>
      <c r="M4" s="4"/>
      <c r="N4" s="4"/>
      <c r="O4" s="4"/>
      <c r="P4" s="4"/>
      <c r="Q4" s="4"/>
    </row>
    <row r="5" spans="1:17" x14ac:dyDescent="0.2">
      <c r="A5" s="26" t="s">
        <v>38</v>
      </c>
      <c r="B5" s="25"/>
      <c r="E5" s="27" t="s">
        <v>54</v>
      </c>
      <c r="F5" t="s">
        <v>92</v>
      </c>
      <c r="G5">
        <v>2021</v>
      </c>
      <c r="H5">
        <v>2022</v>
      </c>
      <c r="I5">
        <v>2023</v>
      </c>
      <c r="J5">
        <v>2024</v>
      </c>
    </row>
    <row r="6" spans="1:17" ht="15" customHeight="1" x14ac:dyDescent="0.2">
      <c r="A6" t="s">
        <v>39</v>
      </c>
      <c r="B6" t="b">
        <v>0</v>
      </c>
      <c r="E6" s="25"/>
      <c r="F6" t="s">
        <v>90</v>
      </c>
      <c r="G6" s="2">
        <v>46.9</v>
      </c>
      <c r="H6" s="2">
        <v>51</v>
      </c>
      <c r="I6" s="2">
        <v>39.200000000000003</v>
      </c>
      <c r="J6" s="2">
        <v>36.299999999999997</v>
      </c>
      <c r="K6" s="2"/>
      <c r="L6" s="2"/>
      <c r="M6" s="2"/>
      <c r="N6" s="2"/>
      <c r="O6" s="2"/>
    </row>
    <row r="7" spans="1:17" ht="15.75" customHeight="1" x14ac:dyDescent="0.2">
      <c r="E7" s="25"/>
      <c r="F7" t="s">
        <v>91</v>
      </c>
      <c r="G7" s="2">
        <v>24.3</v>
      </c>
      <c r="H7" s="2">
        <v>18.5</v>
      </c>
      <c r="I7" s="2">
        <v>17.8</v>
      </c>
      <c r="J7" s="2">
        <v>10.9</v>
      </c>
      <c r="K7" s="2"/>
      <c r="L7" s="2"/>
      <c r="M7" s="2"/>
      <c r="N7" s="2"/>
      <c r="O7" s="2"/>
    </row>
    <row r="8" spans="1:17" x14ac:dyDescent="0.2">
      <c r="E8" s="25"/>
      <c r="G8" s="2"/>
      <c r="H8" s="2"/>
      <c r="I8" s="2"/>
      <c r="J8" s="2"/>
      <c r="K8" s="2"/>
      <c r="L8" s="2"/>
      <c r="M8" s="2"/>
      <c r="N8" s="2"/>
      <c r="O8" s="2"/>
    </row>
    <row r="9" spans="1:17" x14ac:dyDescent="0.2">
      <c r="A9" s="26" t="s">
        <v>40</v>
      </c>
      <c r="B9" s="25"/>
      <c r="E9" s="25"/>
      <c r="G9" s="2"/>
      <c r="H9" s="2"/>
      <c r="I9" s="2"/>
      <c r="J9" s="2"/>
      <c r="K9" s="2"/>
      <c r="L9" s="2"/>
      <c r="M9" s="2"/>
      <c r="N9" s="2"/>
      <c r="O9" s="2"/>
    </row>
    <row r="10" spans="1:17" x14ac:dyDescent="0.2">
      <c r="A10" t="s">
        <v>15</v>
      </c>
      <c r="B10" t="s">
        <v>53</v>
      </c>
      <c r="E10" s="25"/>
      <c r="G10" s="2"/>
    </row>
    <row r="11" spans="1:17" x14ac:dyDescent="0.2">
      <c r="A11" t="s">
        <v>41</v>
      </c>
      <c r="B11" t="s">
        <v>81</v>
      </c>
      <c r="E11" s="25"/>
      <c r="G11" s="2"/>
      <c r="H11" s="2"/>
      <c r="I11" s="2"/>
      <c r="J11" s="1"/>
      <c r="K11" s="1"/>
      <c r="L11" s="1"/>
      <c r="M11" s="1"/>
      <c r="N11" s="1"/>
    </row>
    <row r="12" spans="1:17" x14ac:dyDescent="0.2">
      <c r="A12" t="s">
        <v>42</v>
      </c>
      <c r="E12" s="25"/>
      <c r="F12" s="3"/>
      <c r="G12" s="1"/>
      <c r="H12" s="1"/>
      <c r="I12" s="2"/>
      <c r="J12" s="2"/>
      <c r="K12" s="2"/>
      <c r="L12" s="2"/>
    </row>
    <row r="13" spans="1:17" x14ac:dyDescent="0.2">
      <c r="A13" t="s">
        <v>43</v>
      </c>
      <c r="E13" s="25"/>
    </row>
    <row r="14" spans="1:17" x14ac:dyDescent="0.2">
      <c r="A14" t="s">
        <v>45</v>
      </c>
      <c r="B14" t="s">
        <v>27</v>
      </c>
      <c r="E14" s="25"/>
    </row>
    <row r="15" spans="1:17" x14ac:dyDescent="0.2">
      <c r="A15" t="s">
        <v>46</v>
      </c>
      <c r="B15" t="b">
        <v>1</v>
      </c>
      <c r="E15" s="25"/>
    </row>
    <row r="16" spans="1:17" x14ac:dyDescent="0.2">
      <c r="A16" t="s">
        <v>52</v>
      </c>
      <c r="B16" t="b">
        <v>1</v>
      </c>
      <c r="E16" s="25"/>
    </row>
    <row r="17" spans="1:11" x14ac:dyDescent="0.2">
      <c r="E17" s="25"/>
    </row>
    <row r="18" spans="1:11" x14ac:dyDescent="0.2">
      <c r="A18" s="26" t="s">
        <v>51</v>
      </c>
      <c r="B18" s="25"/>
      <c r="E18" s="25"/>
    </row>
    <row r="19" spans="1:11" x14ac:dyDescent="0.2">
      <c r="A19" t="s">
        <v>50</v>
      </c>
      <c r="B19" s="7" t="s">
        <v>89</v>
      </c>
      <c r="E19" s="25"/>
    </row>
    <row r="20" spans="1:11" x14ac:dyDescent="0.2">
      <c r="E20" s="25"/>
      <c r="F20" s="2"/>
      <c r="G20" s="2"/>
      <c r="H20" s="2"/>
    </row>
    <row r="21" spans="1:11" x14ac:dyDescent="0.2">
      <c r="A21" s="28" t="s">
        <v>49</v>
      </c>
      <c r="B21" s="25"/>
      <c r="E21" s="25"/>
      <c r="F21" s="2"/>
      <c r="G21" s="2"/>
      <c r="H21" s="2"/>
    </row>
    <row r="22" spans="1:11" x14ac:dyDescent="0.2">
      <c r="A22" t="s">
        <v>48</v>
      </c>
      <c r="B22" s="7" t="s">
        <v>93</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7">
    <mergeCell ref="B1:O1"/>
    <mergeCell ref="A5:B5"/>
    <mergeCell ref="E5:E57"/>
    <mergeCell ref="A9:B9"/>
    <mergeCell ref="A18:B18"/>
    <mergeCell ref="A21:B21"/>
    <mergeCell ref="A27:B27"/>
  </mergeCells>
  <dataValidations count="3">
    <dataValidation type="list" allowBlank="1" showInputMessage="1" showErrorMessage="1" sqref="B10" xr:uid="{C23DDAA4-3CDE-41A1-BB7D-36D639DC1B8D}">
      <formula1>"Line,Clustered Bar,Stacked Bar,Bar,Horizontal Stacked Bar"</formula1>
    </dataValidation>
    <dataValidation type="list" allowBlank="1" showInputMessage="1" showErrorMessage="1" sqref="B2" xr:uid="{A2AF3CA8-3E7D-46B8-B0BD-F15B69CD7E9E}">
      <formula1>"Table,Figure,Both"</formula1>
    </dataValidation>
    <dataValidation type="list" allowBlank="1" showInputMessage="1" showErrorMessage="1" sqref="B6 B15:B16" xr:uid="{5C171D31-0B8F-4BC0-961C-4CDEBECB803A}">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690E269-C91E-4C8E-99B4-51B10D3744E9}">
          <x14:formula1>
            <xm:f>Master!$E$2:$E$10</xm:f>
          </x14:formula1>
          <xm:sqref>B1:O1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9CED-0239-4594-A45D-902F01FA8F74}">
  <dimension ref="A1:Q57"/>
  <sheetViews>
    <sheetView workbookViewId="0">
      <selection activeCell="H22" sqref="H2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
        <v>73</v>
      </c>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tbl-6</v>
      </c>
    </row>
    <row r="4" spans="1:17" x14ac:dyDescent="0.2">
      <c r="A4" s="6" t="s">
        <v>6</v>
      </c>
      <c r="B4" t="str">
        <f>IF($B$1="","",_xlfn.XLOOKUP($B$1,Master!$E$2:$E$321,Master!$G$2:$G$321,""))</f>
        <v>fig-6</v>
      </c>
      <c r="E4" s="5"/>
      <c r="F4" s="4" t="s">
        <v>55</v>
      </c>
      <c r="G4" s="4" t="s">
        <v>22</v>
      </c>
      <c r="H4" s="4" t="s">
        <v>22</v>
      </c>
      <c r="I4" s="4" t="s">
        <v>22</v>
      </c>
      <c r="J4" s="4" t="s">
        <v>22</v>
      </c>
      <c r="K4" s="4"/>
      <c r="L4" s="4"/>
      <c r="M4" s="4"/>
      <c r="N4" s="4"/>
      <c r="O4" s="4"/>
      <c r="P4" s="4"/>
      <c r="Q4" s="4"/>
    </row>
    <row r="5" spans="1:17" x14ac:dyDescent="0.2">
      <c r="A5" s="26" t="s">
        <v>38</v>
      </c>
      <c r="B5" s="25"/>
      <c r="E5" s="27" t="s">
        <v>54</v>
      </c>
      <c r="F5" t="s">
        <v>99</v>
      </c>
      <c r="G5">
        <v>2021</v>
      </c>
      <c r="H5">
        <v>2022</v>
      </c>
      <c r="I5">
        <v>2023</v>
      </c>
      <c r="J5">
        <v>2024</v>
      </c>
    </row>
    <row r="6" spans="1:17" ht="15" customHeight="1" x14ac:dyDescent="0.2">
      <c r="A6" t="s">
        <v>39</v>
      </c>
      <c r="B6" t="b">
        <v>0</v>
      </c>
      <c r="E6" s="25"/>
      <c r="F6" t="s">
        <v>95</v>
      </c>
      <c r="G6" s="8">
        <v>14.7</v>
      </c>
      <c r="H6" s="8">
        <v>10.9</v>
      </c>
      <c r="I6" s="8">
        <v>10.9</v>
      </c>
      <c r="J6" s="8">
        <v>9.3000000000000007</v>
      </c>
      <c r="K6" s="2"/>
      <c r="L6" s="2"/>
      <c r="M6" s="2"/>
      <c r="N6" s="2"/>
      <c r="O6" s="2"/>
    </row>
    <row r="7" spans="1:17" ht="15.75" customHeight="1" x14ac:dyDescent="0.2">
      <c r="E7" s="25"/>
      <c r="F7" t="s">
        <v>96</v>
      </c>
      <c r="G7" s="8">
        <v>90.1</v>
      </c>
      <c r="H7" s="8">
        <v>71.8</v>
      </c>
      <c r="I7" s="8">
        <v>66.3</v>
      </c>
      <c r="J7" s="8">
        <v>40.200000000000003</v>
      </c>
      <c r="K7" s="2"/>
      <c r="L7" s="2"/>
      <c r="M7" s="2"/>
      <c r="N7" s="2"/>
      <c r="O7" s="2"/>
    </row>
    <row r="8" spans="1:17" x14ac:dyDescent="0.2">
      <c r="E8" s="25"/>
      <c r="F8" t="s">
        <v>97</v>
      </c>
      <c r="G8" s="8">
        <v>60</v>
      </c>
      <c r="H8" s="8">
        <v>59.2</v>
      </c>
      <c r="I8" s="8">
        <v>58.2</v>
      </c>
      <c r="J8" s="8">
        <v>33</v>
      </c>
      <c r="K8" s="2"/>
      <c r="L8" s="2"/>
      <c r="M8" s="2"/>
      <c r="N8" s="2"/>
      <c r="O8" s="2"/>
    </row>
    <row r="9" spans="1:17" x14ac:dyDescent="0.2">
      <c r="A9" s="26" t="s">
        <v>40</v>
      </c>
      <c r="B9" s="25"/>
      <c r="E9" s="25"/>
      <c r="F9" t="s">
        <v>98</v>
      </c>
      <c r="G9" s="8">
        <v>35.5</v>
      </c>
      <c r="H9" s="8">
        <v>49.1</v>
      </c>
      <c r="I9" s="8">
        <v>28.3</v>
      </c>
      <c r="J9" s="8">
        <v>21</v>
      </c>
      <c r="K9" s="2"/>
      <c r="L9" s="2"/>
      <c r="M9" s="2"/>
      <c r="N9" s="2"/>
      <c r="O9" s="2"/>
    </row>
    <row r="10" spans="1:17" x14ac:dyDescent="0.2">
      <c r="A10" t="s">
        <v>15</v>
      </c>
      <c r="B10" t="s">
        <v>53</v>
      </c>
      <c r="E10" s="25"/>
      <c r="G10" s="2"/>
    </row>
    <row r="11" spans="1:17" x14ac:dyDescent="0.2">
      <c r="A11" t="s">
        <v>41</v>
      </c>
      <c r="B11" t="s">
        <v>81</v>
      </c>
      <c r="E11" s="25"/>
      <c r="G11" s="2"/>
      <c r="H11" s="2"/>
      <c r="I11" s="2"/>
      <c r="J11" s="1"/>
      <c r="K11" s="1"/>
      <c r="L11" s="1"/>
      <c r="M11" s="1"/>
      <c r="N11" s="1"/>
    </row>
    <row r="12" spans="1:17" x14ac:dyDescent="0.2">
      <c r="A12" t="s">
        <v>42</v>
      </c>
      <c r="E12" s="25"/>
      <c r="F12" s="3"/>
      <c r="G12" s="1"/>
      <c r="H12" s="1"/>
      <c r="I12" s="2"/>
      <c r="J12" s="2"/>
      <c r="K12" s="2"/>
      <c r="L12" s="2"/>
    </row>
    <row r="13" spans="1:17" x14ac:dyDescent="0.2">
      <c r="A13" t="s">
        <v>43</v>
      </c>
      <c r="E13" s="25"/>
    </row>
    <row r="14" spans="1:17" x14ac:dyDescent="0.2">
      <c r="A14" t="s">
        <v>45</v>
      </c>
      <c r="B14" t="s">
        <v>27</v>
      </c>
      <c r="E14" s="25"/>
    </row>
    <row r="15" spans="1:17" x14ac:dyDescent="0.2">
      <c r="A15" t="s">
        <v>46</v>
      </c>
      <c r="B15" t="b">
        <v>1</v>
      </c>
      <c r="E15" s="25"/>
    </row>
    <row r="16" spans="1:17" x14ac:dyDescent="0.2">
      <c r="A16" t="s">
        <v>52</v>
      </c>
      <c r="B16" t="b">
        <v>1</v>
      </c>
      <c r="E16" s="25"/>
    </row>
    <row r="17" spans="1:11" x14ac:dyDescent="0.2">
      <c r="E17" s="25"/>
    </row>
    <row r="18" spans="1:11" x14ac:dyDescent="0.2">
      <c r="A18" s="26" t="s">
        <v>51</v>
      </c>
      <c r="B18" s="25"/>
      <c r="E18" s="25"/>
    </row>
    <row r="19" spans="1:11" x14ac:dyDescent="0.2">
      <c r="A19" t="s">
        <v>50</v>
      </c>
      <c r="B19" s="7" t="s">
        <v>89</v>
      </c>
      <c r="E19" s="25"/>
    </row>
    <row r="20" spans="1:11" x14ac:dyDescent="0.2">
      <c r="E20" s="25"/>
      <c r="F20" s="2"/>
      <c r="G20" s="2"/>
      <c r="H20" s="2"/>
    </row>
    <row r="21" spans="1:11" x14ac:dyDescent="0.2">
      <c r="A21" s="28" t="s">
        <v>49</v>
      </c>
      <c r="B21" s="25"/>
      <c r="E21" s="25"/>
      <c r="F21" s="2"/>
      <c r="G21" s="2"/>
      <c r="H21" s="2"/>
    </row>
    <row r="22" spans="1:11" x14ac:dyDescent="0.2">
      <c r="A22" t="s">
        <v>48</v>
      </c>
      <c r="B22" s="7" t="s">
        <v>94</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7">
    <mergeCell ref="B1:O1"/>
    <mergeCell ref="A5:B5"/>
    <mergeCell ref="E5:E57"/>
    <mergeCell ref="A9:B9"/>
    <mergeCell ref="A18:B18"/>
    <mergeCell ref="A21:B21"/>
    <mergeCell ref="A27:B27"/>
  </mergeCells>
  <dataValidations count="3">
    <dataValidation type="list" allowBlank="1" showInputMessage="1" showErrorMessage="1" sqref="B10" xr:uid="{FF4DF22E-1925-4A03-BB91-CCB2BF51D646}">
      <formula1>"Line,Clustered Bar,Stacked Bar,Bar,Horizontal Stacked Bar"</formula1>
    </dataValidation>
    <dataValidation type="list" allowBlank="1" showInputMessage="1" showErrorMessage="1" sqref="B2" xr:uid="{4B200F09-3F53-44BB-859C-79A7DACF4BD5}">
      <formula1>"Table,Figure,Both"</formula1>
    </dataValidation>
    <dataValidation type="list" allowBlank="1" showInputMessage="1" showErrorMessage="1" sqref="B6 B15:B16" xr:uid="{7E5E9F2E-7BB9-4B8C-A0C7-AC4197F9957A}">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7FC8B81-2F27-4ECF-84AC-462B5AE912D2}">
          <x14:formula1>
            <xm:f>Master!$E$2:$E$10</xm:f>
          </x14:formula1>
          <xm:sqref>B1:O1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7A22D-D47E-4232-A0FC-80254BC7363E}">
  <dimension ref="A1:Q57"/>
  <sheetViews>
    <sheetView workbookViewId="0">
      <selection activeCell="B12" sqref="B12"/>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15.5" customWidth="1"/>
    <col min="11" max="11" width="17.33203125"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
        <v>75</v>
      </c>
      <c r="C1" s="25"/>
      <c r="D1" s="25"/>
      <c r="E1" s="25"/>
      <c r="F1" s="25"/>
      <c r="G1" s="25"/>
      <c r="H1" s="25"/>
      <c r="I1" s="25"/>
      <c r="J1" s="25"/>
      <c r="K1" s="25"/>
      <c r="L1" s="25"/>
      <c r="M1" s="25"/>
      <c r="N1" s="25"/>
      <c r="O1" s="25"/>
    </row>
    <row r="2" spans="1:17" x14ac:dyDescent="0.2">
      <c r="A2" s="6" t="s">
        <v>14</v>
      </c>
      <c r="B2" t="s">
        <v>11</v>
      </c>
    </row>
    <row r="3" spans="1:17" x14ac:dyDescent="0.2">
      <c r="A3" s="6" t="s">
        <v>56</v>
      </c>
      <c r="B3" t="str">
        <f>IF($B$1="","",_xlfn.XLOOKUP($B$1,Master!$E$2:$E$321,Master!$F$2:$F$321,""))</f>
        <v>tbl-7</v>
      </c>
    </row>
    <row r="4" spans="1:17" ht="16" thickBot="1" x14ac:dyDescent="0.25">
      <c r="A4" s="6" t="s">
        <v>6</v>
      </c>
      <c r="B4" t="str">
        <f>IF($B$1="","",_xlfn.XLOOKUP($B$1,Master!$E$2:$E$321,Master!$G$2:$G$321,""))</f>
        <v>fig-7</v>
      </c>
      <c r="E4" s="5"/>
      <c r="F4" s="4" t="s">
        <v>55</v>
      </c>
      <c r="G4" s="4" t="s">
        <v>19</v>
      </c>
      <c r="H4" s="4" t="s">
        <v>19</v>
      </c>
      <c r="I4" s="4" t="s">
        <v>19</v>
      </c>
      <c r="J4" s="4" t="s">
        <v>22</v>
      </c>
      <c r="K4" s="4" t="s">
        <v>22</v>
      </c>
      <c r="L4" s="4"/>
      <c r="M4" s="4"/>
      <c r="N4" s="4"/>
      <c r="O4" s="4"/>
      <c r="P4" s="4"/>
      <c r="Q4" s="4"/>
    </row>
    <row r="5" spans="1:17" ht="17" thickBot="1" x14ac:dyDescent="0.25">
      <c r="A5" s="26" t="s">
        <v>38</v>
      </c>
      <c r="B5" s="25"/>
      <c r="E5" s="27" t="s">
        <v>54</v>
      </c>
      <c r="F5" s="29" t="s">
        <v>100</v>
      </c>
      <c r="G5" s="31" t="s">
        <v>101</v>
      </c>
      <c r="H5" s="32"/>
      <c r="I5" s="33"/>
      <c r="J5" s="34" t="s">
        <v>102</v>
      </c>
      <c r="K5" s="35"/>
    </row>
    <row r="6" spans="1:17" ht="15" customHeight="1" thickBot="1" x14ac:dyDescent="0.25">
      <c r="A6" t="s">
        <v>39</v>
      </c>
      <c r="B6" t="b">
        <v>1</v>
      </c>
      <c r="E6" s="25"/>
      <c r="F6" s="30"/>
      <c r="G6" s="10">
        <v>2022</v>
      </c>
      <c r="H6" s="10">
        <v>2023</v>
      </c>
      <c r="I6" s="11">
        <v>2024</v>
      </c>
      <c r="J6" s="10" t="s">
        <v>103</v>
      </c>
      <c r="K6" s="10" t="s">
        <v>104</v>
      </c>
      <c r="L6" s="2"/>
      <c r="M6" s="2"/>
      <c r="N6" s="2"/>
      <c r="O6" s="2"/>
    </row>
    <row r="7" spans="1:17" ht="15.75" customHeight="1" thickBot="1" x14ac:dyDescent="0.25">
      <c r="E7" s="25"/>
      <c r="F7" s="12" t="s">
        <v>105</v>
      </c>
      <c r="G7" s="13">
        <v>112</v>
      </c>
      <c r="H7" s="13">
        <v>88</v>
      </c>
      <c r="I7" s="14">
        <v>48</v>
      </c>
      <c r="J7" s="13">
        <v>-21.4</v>
      </c>
      <c r="K7" s="13">
        <v>-45.5</v>
      </c>
      <c r="L7" s="2"/>
      <c r="M7" s="2"/>
      <c r="N7" s="2"/>
      <c r="O7" s="2"/>
    </row>
    <row r="8" spans="1:17" ht="18" thickBot="1" x14ac:dyDescent="0.25">
      <c r="E8" s="25"/>
      <c r="F8" s="12" t="s">
        <v>106</v>
      </c>
      <c r="G8" s="13">
        <v>35</v>
      </c>
      <c r="H8" s="13">
        <v>48</v>
      </c>
      <c r="I8" s="14">
        <v>41</v>
      </c>
      <c r="J8" s="13">
        <v>37.1</v>
      </c>
      <c r="K8" s="13">
        <v>-14.6</v>
      </c>
      <c r="L8" s="2"/>
      <c r="M8" s="2"/>
      <c r="N8" s="2"/>
      <c r="O8" s="2"/>
    </row>
    <row r="9" spans="1:17" ht="18" thickBot="1" x14ac:dyDescent="0.25">
      <c r="A9" s="26" t="s">
        <v>40</v>
      </c>
      <c r="B9" s="25"/>
      <c r="E9" s="25"/>
      <c r="F9" s="12" t="s">
        <v>107</v>
      </c>
      <c r="G9" s="13">
        <v>18</v>
      </c>
      <c r="H9" s="13">
        <v>22</v>
      </c>
      <c r="I9" s="14">
        <v>20</v>
      </c>
      <c r="J9" s="13">
        <v>22.2</v>
      </c>
      <c r="K9" s="13">
        <v>-9.1</v>
      </c>
      <c r="L9" s="2"/>
      <c r="M9" s="2"/>
      <c r="N9" s="2"/>
      <c r="O9" s="2"/>
    </row>
    <row r="10" spans="1:17" ht="18" thickBot="1" x14ac:dyDescent="0.25">
      <c r="A10" t="s">
        <v>15</v>
      </c>
      <c r="E10" s="25"/>
      <c r="F10" s="12" t="s">
        <v>108</v>
      </c>
      <c r="G10" s="13">
        <v>27</v>
      </c>
      <c r="H10" s="13">
        <v>16</v>
      </c>
      <c r="I10" s="14">
        <v>15</v>
      </c>
      <c r="J10" s="13">
        <v>-40.700000000000003</v>
      </c>
      <c r="K10" s="13">
        <v>-6.3</v>
      </c>
    </row>
    <row r="11" spans="1:17" ht="18" thickBot="1" x14ac:dyDescent="0.25">
      <c r="A11" t="s">
        <v>41</v>
      </c>
      <c r="E11" s="25"/>
      <c r="F11" s="12" t="s">
        <v>109</v>
      </c>
      <c r="G11" s="13">
        <v>18</v>
      </c>
      <c r="H11" s="13">
        <v>29</v>
      </c>
      <c r="I11" s="14">
        <v>10</v>
      </c>
      <c r="J11" s="13">
        <v>61.1</v>
      </c>
      <c r="K11" s="13">
        <v>-65.5</v>
      </c>
      <c r="L11" s="1"/>
      <c r="M11" s="1"/>
      <c r="N11" s="1"/>
    </row>
    <row r="12" spans="1:17" ht="18" thickBot="1" x14ac:dyDescent="0.25">
      <c r="A12" t="s">
        <v>42</v>
      </c>
      <c r="E12" s="25"/>
      <c r="F12" s="12" t="s">
        <v>110</v>
      </c>
      <c r="G12" s="13">
        <v>2</v>
      </c>
      <c r="H12" s="13">
        <v>10</v>
      </c>
      <c r="I12" s="14">
        <v>7</v>
      </c>
      <c r="J12" s="13">
        <v>400</v>
      </c>
      <c r="K12" s="15">
        <v>-30</v>
      </c>
      <c r="L12" s="2"/>
    </row>
    <row r="13" spans="1:17" ht="18" thickBot="1" x14ac:dyDescent="0.25">
      <c r="A13" t="s">
        <v>43</v>
      </c>
      <c r="E13" s="25"/>
      <c r="F13" s="12" t="s">
        <v>111</v>
      </c>
      <c r="G13" s="13">
        <v>22</v>
      </c>
      <c r="H13" s="13">
        <v>15</v>
      </c>
      <c r="I13" s="14">
        <v>7</v>
      </c>
      <c r="J13" s="13">
        <v>31.8</v>
      </c>
      <c r="K13" s="15">
        <v>-53.3</v>
      </c>
    </row>
    <row r="14" spans="1:17" ht="18" thickBot="1" x14ac:dyDescent="0.25">
      <c r="A14" t="s">
        <v>45</v>
      </c>
      <c r="E14" s="25"/>
      <c r="F14" s="12" t="s">
        <v>112</v>
      </c>
      <c r="G14" s="13">
        <v>23</v>
      </c>
      <c r="H14" s="13">
        <v>5</v>
      </c>
      <c r="I14" s="14">
        <v>4</v>
      </c>
      <c r="J14" s="13">
        <v>91.3</v>
      </c>
      <c r="K14" s="15">
        <v>-20</v>
      </c>
    </row>
    <row r="15" spans="1:17" x14ac:dyDescent="0.2">
      <c r="A15" t="s">
        <v>46</v>
      </c>
      <c r="E15" s="25"/>
    </row>
    <row r="16" spans="1:17" x14ac:dyDescent="0.2">
      <c r="A16" t="s">
        <v>52</v>
      </c>
      <c r="E16" s="25"/>
    </row>
    <row r="17" spans="1:11" x14ac:dyDescent="0.2">
      <c r="E17" s="25"/>
    </row>
    <row r="18" spans="1:11" x14ac:dyDescent="0.2">
      <c r="A18" s="26" t="s">
        <v>51</v>
      </c>
      <c r="B18" s="25"/>
      <c r="E18" s="25"/>
    </row>
    <row r="19" spans="1:11" x14ac:dyDescent="0.2">
      <c r="A19" t="s">
        <v>50</v>
      </c>
      <c r="E19" s="25"/>
    </row>
    <row r="20" spans="1:11" x14ac:dyDescent="0.2">
      <c r="E20" s="25"/>
      <c r="F20" s="2"/>
      <c r="G20" s="2"/>
      <c r="H20" s="2"/>
    </row>
    <row r="21" spans="1:11" x14ac:dyDescent="0.2">
      <c r="A21" s="28" t="s">
        <v>49</v>
      </c>
      <c r="B21" s="25"/>
      <c r="E21" s="25"/>
      <c r="F21" s="2"/>
      <c r="G21" s="2"/>
      <c r="H21" s="2"/>
    </row>
    <row r="22" spans="1:11" x14ac:dyDescent="0.2">
      <c r="A22" t="s">
        <v>48</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10">
    <mergeCell ref="B1:O1"/>
    <mergeCell ref="A5:B5"/>
    <mergeCell ref="E5:E57"/>
    <mergeCell ref="A9:B9"/>
    <mergeCell ref="A18:B18"/>
    <mergeCell ref="A21:B21"/>
    <mergeCell ref="A27:B27"/>
    <mergeCell ref="F5:F6"/>
    <mergeCell ref="G5:I5"/>
    <mergeCell ref="J5:K5"/>
  </mergeCells>
  <dataValidations count="3">
    <dataValidation type="list" allowBlank="1" showInputMessage="1" showErrorMessage="1" sqref="B10" xr:uid="{2A8BE01F-D976-41A5-9FCE-3EA4A7174023}">
      <formula1>"Line,Clustered Bar,Stacked Bar,Bar,Horizontal Stacked Bar"</formula1>
    </dataValidation>
    <dataValidation type="list" allowBlank="1" showInputMessage="1" showErrorMessage="1" sqref="B2" xr:uid="{83D84B0E-69E1-4077-8564-DBDA9129D226}">
      <formula1>"Table,Figure,Both"</formula1>
    </dataValidation>
    <dataValidation type="list" allowBlank="1" showInputMessage="1" showErrorMessage="1" sqref="B6 B15:B16" xr:uid="{AE21588B-A25F-46E9-870F-897CC7C37F31}">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4929814C-3572-4077-A465-08C257DB94CD}">
          <x14:formula1>
            <xm:f>Master!$E$2:$E$10</xm:f>
          </x14:formula1>
          <xm:sqref>B1:O1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602D-0521-4D89-8267-3EDAFA503D89}">
  <dimension ref="A1:Q57"/>
  <sheetViews>
    <sheetView workbookViewId="0">
      <selection activeCell="B19" sqref="B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17.5" bestFit="1" customWidth="1"/>
    <col min="8" max="8" width="11.83203125"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
        <v>76</v>
      </c>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tbl-8</v>
      </c>
    </row>
    <row r="4" spans="1:17" x14ac:dyDescent="0.2">
      <c r="A4" s="6" t="s">
        <v>6</v>
      </c>
      <c r="B4" t="str">
        <f>IF($B$1="","",_xlfn.XLOOKUP($B$1,Master!$E$2:$E$321,Master!$G$2:$G$321,""))</f>
        <v>fig-8</v>
      </c>
      <c r="E4" s="5"/>
      <c r="F4" s="4" t="s">
        <v>55</v>
      </c>
      <c r="G4" s="4" t="s">
        <v>55</v>
      </c>
      <c r="H4" s="4" t="s">
        <v>19</v>
      </c>
      <c r="I4" s="4"/>
      <c r="J4" s="4"/>
      <c r="K4" s="4"/>
      <c r="L4" s="4"/>
      <c r="M4" s="4"/>
      <c r="N4" s="4"/>
      <c r="O4" s="4"/>
      <c r="P4" s="4"/>
      <c r="Q4" s="4"/>
    </row>
    <row r="5" spans="1:17" ht="16" x14ac:dyDescent="0.2">
      <c r="A5" s="26" t="s">
        <v>38</v>
      </c>
      <c r="B5" s="25"/>
      <c r="E5" s="27" t="s">
        <v>54</v>
      </c>
      <c r="F5" s="16" t="s">
        <v>113</v>
      </c>
      <c r="G5" s="16" t="s">
        <v>114</v>
      </c>
      <c r="H5" s="16" t="s">
        <v>115</v>
      </c>
    </row>
    <row r="6" spans="1:17" ht="15" customHeight="1" x14ac:dyDescent="0.2">
      <c r="A6" t="s">
        <v>39</v>
      </c>
      <c r="B6" t="b">
        <v>0</v>
      </c>
      <c r="E6" s="25"/>
      <c r="F6" s="9" t="s">
        <v>116</v>
      </c>
      <c r="G6" s="9" t="s">
        <v>105</v>
      </c>
      <c r="H6" s="9">
        <v>48</v>
      </c>
      <c r="I6" s="2"/>
      <c r="J6" s="2"/>
      <c r="K6" s="2"/>
      <c r="L6" s="2"/>
      <c r="M6" s="2"/>
      <c r="N6" s="2"/>
      <c r="O6" s="2"/>
    </row>
    <row r="7" spans="1:17" ht="15.75" customHeight="1" x14ac:dyDescent="0.2">
      <c r="E7" s="25"/>
      <c r="F7" s="9" t="s">
        <v>116</v>
      </c>
      <c r="G7" s="9" t="s">
        <v>117</v>
      </c>
      <c r="H7" s="9">
        <v>7</v>
      </c>
      <c r="I7" s="2"/>
      <c r="J7" s="2"/>
      <c r="K7" s="2"/>
      <c r="L7" s="2"/>
      <c r="M7" s="2"/>
      <c r="N7" s="2"/>
      <c r="O7" s="2"/>
    </row>
    <row r="8" spans="1:17" ht="16" x14ac:dyDescent="0.2">
      <c r="E8" s="25"/>
      <c r="F8" s="9" t="s">
        <v>116</v>
      </c>
      <c r="G8" s="9" t="s">
        <v>112</v>
      </c>
      <c r="H8" s="9">
        <v>4</v>
      </c>
      <c r="I8" s="2"/>
      <c r="J8" s="2"/>
      <c r="K8" s="2"/>
      <c r="L8" s="2"/>
      <c r="M8" s="2"/>
      <c r="N8" s="2"/>
      <c r="O8" s="2"/>
    </row>
    <row r="9" spans="1:17" ht="16" x14ac:dyDescent="0.2">
      <c r="A9" s="26" t="s">
        <v>40</v>
      </c>
      <c r="B9" s="25"/>
      <c r="E9" s="25"/>
      <c r="F9" s="9" t="s">
        <v>116</v>
      </c>
      <c r="G9" s="9" t="s">
        <v>118</v>
      </c>
      <c r="H9" s="9">
        <v>3</v>
      </c>
      <c r="I9" s="2"/>
      <c r="J9" s="2"/>
      <c r="K9" s="2"/>
      <c r="L9" s="2"/>
      <c r="M9" s="2"/>
      <c r="N9" s="2"/>
      <c r="O9" s="2"/>
    </row>
    <row r="10" spans="1:17" ht="16" x14ac:dyDescent="0.2">
      <c r="A10" t="s">
        <v>15</v>
      </c>
      <c r="B10" t="s">
        <v>120</v>
      </c>
      <c r="E10" s="25"/>
      <c r="F10" s="9" t="s">
        <v>119</v>
      </c>
      <c r="G10" s="9" t="s">
        <v>106</v>
      </c>
      <c r="H10" s="9">
        <v>41</v>
      </c>
    </row>
    <row r="11" spans="1:17" ht="16" x14ac:dyDescent="0.2">
      <c r="A11" t="s">
        <v>41</v>
      </c>
      <c r="E11" s="25"/>
      <c r="F11" s="9" t="s">
        <v>119</v>
      </c>
      <c r="G11" s="9" t="s">
        <v>110</v>
      </c>
      <c r="H11" s="9">
        <v>7</v>
      </c>
      <c r="I11" s="2"/>
      <c r="J11" s="1"/>
      <c r="K11" s="1"/>
      <c r="L11" s="1"/>
      <c r="M11" s="1"/>
      <c r="N11" s="1"/>
    </row>
    <row r="12" spans="1:17" ht="16" x14ac:dyDescent="0.2">
      <c r="A12" t="s">
        <v>42</v>
      </c>
      <c r="E12" s="25"/>
      <c r="F12" s="9" t="s">
        <v>118</v>
      </c>
      <c r="G12" s="9" t="s">
        <v>107</v>
      </c>
      <c r="H12" s="9">
        <v>20</v>
      </c>
      <c r="I12" s="2"/>
      <c r="J12" s="2"/>
      <c r="K12" s="2"/>
      <c r="L12" s="2"/>
    </row>
    <row r="13" spans="1:17" ht="16" x14ac:dyDescent="0.2">
      <c r="A13" t="s">
        <v>43</v>
      </c>
      <c r="E13" s="25"/>
      <c r="F13" s="9" t="s">
        <v>118</v>
      </c>
      <c r="G13" s="9" t="s">
        <v>108</v>
      </c>
      <c r="H13" s="9">
        <v>15</v>
      </c>
    </row>
    <row r="14" spans="1:17" ht="16" x14ac:dyDescent="0.2">
      <c r="A14" t="s">
        <v>45</v>
      </c>
      <c r="E14" s="25"/>
      <c r="F14" s="9" t="s">
        <v>118</v>
      </c>
      <c r="G14" s="9" t="s">
        <v>109</v>
      </c>
      <c r="H14" s="9">
        <v>10</v>
      </c>
    </row>
    <row r="15" spans="1:17" x14ac:dyDescent="0.2">
      <c r="A15" t="s">
        <v>46</v>
      </c>
      <c r="B15" t="b">
        <v>1</v>
      </c>
      <c r="E15" s="25"/>
    </row>
    <row r="16" spans="1:17" x14ac:dyDescent="0.2">
      <c r="A16" t="s">
        <v>52</v>
      </c>
      <c r="B16" t="b">
        <v>1</v>
      </c>
      <c r="E16" s="25"/>
    </row>
    <row r="17" spans="1:11" x14ac:dyDescent="0.2">
      <c r="E17" s="25"/>
    </row>
    <row r="18" spans="1:11" x14ac:dyDescent="0.2">
      <c r="A18" s="26" t="s">
        <v>51</v>
      </c>
      <c r="B18" s="25"/>
      <c r="E18" s="25"/>
    </row>
    <row r="19" spans="1:11" x14ac:dyDescent="0.2">
      <c r="A19" t="s">
        <v>50</v>
      </c>
      <c r="B19" s="7" t="s">
        <v>87</v>
      </c>
      <c r="E19" s="25"/>
    </row>
    <row r="20" spans="1:11" x14ac:dyDescent="0.2">
      <c r="E20" s="25"/>
      <c r="F20" s="2"/>
      <c r="G20" s="2"/>
      <c r="H20" s="2"/>
    </row>
    <row r="21" spans="1:11" x14ac:dyDescent="0.2">
      <c r="A21" s="28" t="s">
        <v>49</v>
      </c>
      <c r="B21" s="25"/>
      <c r="E21" s="25"/>
      <c r="F21" s="2"/>
      <c r="G21" s="2"/>
      <c r="H21" s="2"/>
    </row>
    <row r="22" spans="1:11" ht="342" x14ac:dyDescent="0.2">
      <c r="A22" t="s">
        <v>48</v>
      </c>
      <c r="B22" s="17" t="s">
        <v>144</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7">
    <mergeCell ref="B1:O1"/>
    <mergeCell ref="A5:B5"/>
    <mergeCell ref="E5:E57"/>
    <mergeCell ref="A9:B9"/>
    <mergeCell ref="A18:B18"/>
    <mergeCell ref="A21:B21"/>
    <mergeCell ref="A27:B27"/>
  </mergeCells>
  <dataValidations count="3">
    <dataValidation type="list" allowBlank="1" showInputMessage="1" showErrorMessage="1" sqref="B10" xr:uid="{95B96CA0-6EA9-4F6C-B072-545CD855DA44}">
      <formula1>"Line,Clustered Bar,Stacked Bar,Bar,Horizontal Stacked Bar,Treemap"</formula1>
    </dataValidation>
    <dataValidation type="list" allowBlank="1" showInputMessage="1" showErrorMessage="1" sqref="B2" xr:uid="{395CA644-C5B6-481A-875B-4254450F1887}">
      <formula1>"Table,Figure,Both"</formula1>
    </dataValidation>
    <dataValidation type="list" allowBlank="1" showInputMessage="1" showErrorMessage="1" sqref="B6 B15:B16" xr:uid="{AF3D6EF1-DAD3-4C31-8D4A-6635E14D12C7}">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F0F3E81-D988-4AF9-BB13-972A146C0BC1}">
          <x14:formula1>
            <xm:f>Master!$E$2:$E$10</xm:f>
          </x14:formula1>
          <xm:sqref>B1:O1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4F06-A63C-4EAB-9B3D-84D1641482B2}">
  <dimension ref="A1:Q57"/>
  <sheetViews>
    <sheetView workbookViewId="0">
      <selection activeCell="G19" sqref="G19"/>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
        <v>77</v>
      </c>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tbl-9</v>
      </c>
    </row>
    <row r="4" spans="1:17" x14ac:dyDescent="0.2">
      <c r="A4" s="6" t="s">
        <v>6</v>
      </c>
      <c r="B4" t="str">
        <f>IF($B$1="","",_xlfn.XLOOKUP($B$1,Master!$E$2:$E$321,Master!$G$2:$G$321,""))</f>
        <v>fig-9</v>
      </c>
      <c r="E4" s="5"/>
      <c r="F4" s="4" t="s">
        <v>55</v>
      </c>
      <c r="G4" s="4" t="s">
        <v>22</v>
      </c>
      <c r="H4" s="4" t="s">
        <v>22</v>
      </c>
      <c r="I4" s="4" t="s">
        <v>22</v>
      </c>
      <c r="J4" s="4" t="s">
        <v>22</v>
      </c>
      <c r="K4" s="4"/>
      <c r="L4" s="4"/>
      <c r="M4" s="4"/>
      <c r="N4" s="4"/>
      <c r="O4" s="4"/>
      <c r="P4" s="4"/>
      <c r="Q4" s="4"/>
    </row>
    <row r="5" spans="1:17" x14ac:dyDescent="0.2">
      <c r="A5" s="26" t="s">
        <v>38</v>
      </c>
      <c r="B5" s="25"/>
      <c r="E5" s="27" t="s">
        <v>54</v>
      </c>
      <c r="G5">
        <v>2024</v>
      </c>
      <c r="H5">
        <v>2023</v>
      </c>
      <c r="I5">
        <v>2022</v>
      </c>
      <c r="J5">
        <v>2021</v>
      </c>
    </row>
    <row r="6" spans="1:17" ht="15" customHeight="1" x14ac:dyDescent="0.2">
      <c r="A6" t="s">
        <v>39</v>
      </c>
      <c r="B6" t="b">
        <v>0</v>
      </c>
      <c r="E6" s="25"/>
      <c r="F6" t="s">
        <v>121</v>
      </c>
      <c r="G6" s="8">
        <v>34.6</v>
      </c>
      <c r="H6" s="8">
        <v>38.299999999999997</v>
      </c>
      <c r="I6" s="8">
        <v>24.1</v>
      </c>
      <c r="J6" s="8">
        <v>33.6</v>
      </c>
      <c r="K6" s="2"/>
      <c r="L6" s="2"/>
      <c r="M6" s="2"/>
      <c r="N6" s="2"/>
      <c r="O6" s="2"/>
    </row>
    <row r="7" spans="1:17" ht="15.75" customHeight="1" x14ac:dyDescent="0.2">
      <c r="E7" s="25"/>
      <c r="F7" t="s">
        <v>122</v>
      </c>
      <c r="G7" s="8">
        <v>34.6</v>
      </c>
      <c r="H7" s="8">
        <v>49.6</v>
      </c>
      <c r="I7" s="8">
        <v>66</v>
      </c>
      <c r="J7" s="8">
        <v>58.7</v>
      </c>
      <c r="K7" s="2"/>
      <c r="L7" s="2"/>
      <c r="M7" s="2"/>
      <c r="N7" s="2"/>
      <c r="O7" s="2"/>
    </row>
    <row r="8" spans="1:17" x14ac:dyDescent="0.2">
      <c r="E8" s="25"/>
      <c r="F8" t="s">
        <v>123</v>
      </c>
      <c r="G8" s="8">
        <v>20.5</v>
      </c>
      <c r="H8" s="8">
        <v>0.7</v>
      </c>
      <c r="I8" s="8">
        <v>0.7</v>
      </c>
      <c r="J8" s="8">
        <v>0.7</v>
      </c>
      <c r="K8" s="2"/>
      <c r="L8" s="2"/>
      <c r="M8" s="2"/>
      <c r="N8" s="2"/>
      <c r="O8" s="2"/>
    </row>
    <row r="9" spans="1:17" x14ac:dyDescent="0.2">
      <c r="A9" s="26" t="s">
        <v>40</v>
      </c>
      <c r="B9" s="25"/>
      <c r="E9" s="25"/>
      <c r="F9" t="s">
        <v>124</v>
      </c>
      <c r="G9" s="8">
        <v>10.3</v>
      </c>
      <c r="H9" s="8">
        <v>5.2</v>
      </c>
      <c r="I9" s="8">
        <v>9.1999999999999993</v>
      </c>
      <c r="J9" s="8">
        <v>7</v>
      </c>
      <c r="K9" s="2"/>
      <c r="L9" s="2"/>
      <c r="M9" s="2"/>
      <c r="N9" s="2"/>
      <c r="O9" s="2"/>
    </row>
    <row r="10" spans="1:17" x14ac:dyDescent="0.2">
      <c r="A10" t="s">
        <v>15</v>
      </c>
      <c r="B10" t="s">
        <v>125</v>
      </c>
      <c r="E10" s="25"/>
      <c r="G10" s="2"/>
    </row>
    <row r="11" spans="1:17" x14ac:dyDescent="0.2">
      <c r="A11" t="s">
        <v>41</v>
      </c>
      <c r="E11" s="25"/>
      <c r="G11" s="2"/>
      <c r="H11" s="2"/>
      <c r="I11" s="2"/>
      <c r="J11" s="1"/>
      <c r="K11" s="1"/>
      <c r="L11" s="1"/>
      <c r="M11" s="1"/>
      <c r="N11" s="1"/>
    </row>
    <row r="12" spans="1:17" x14ac:dyDescent="0.2">
      <c r="A12" t="s">
        <v>42</v>
      </c>
      <c r="E12" s="25"/>
      <c r="F12" s="3"/>
      <c r="G12" s="1"/>
      <c r="H12" s="1"/>
      <c r="I12" s="2"/>
      <c r="J12" s="2"/>
      <c r="K12" s="2"/>
      <c r="L12" s="2"/>
    </row>
    <row r="13" spans="1:17" x14ac:dyDescent="0.2">
      <c r="A13" t="s">
        <v>43</v>
      </c>
      <c r="E13" s="25"/>
    </row>
    <row r="14" spans="1:17" x14ac:dyDescent="0.2">
      <c r="A14" t="s">
        <v>45</v>
      </c>
      <c r="E14" s="25"/>
    </row>
    <row r="15" spans="1:17" x14ac:dyDescent="0.2">
      <c r="A15" t="s">
        <v>46</v>
      </c>
      <c r="B15" t="b">
        <v>1</v>
      </c>
      <c r="E15" s="25"/>
    </row>
    <row r="16" spans="1:17" x14ac:dyDescent="0.2">
      <c r="A16" t="s">
        <v>52</v>
      </c>
      <c r="B16" t="b">
        <v>1</v>
      </c>
      <c r="E16" s="25"/>
    </row>
    <row r="17" spans="1:11" x14ac:dyDescent="0.2">
      <c r="E17" s="25"/>
    </row>
    <row r="18" spans="1:11" x14ac:dyDescent="0.2">
      <c r="A18" s="26" t="s">
        <v>51</v>
      </c>
      <c r="B18" s="25"/>
      <c r="E18" s="25"/>
    </row>
    <row r="19" spans="1:11" x14ac:dyDescent="0.2">
      <c r="A19" t="s">
        <v>50</v>
      </c>
      <c r="B19" s="7" t="s">
        <v>87</v>
      </c>
      <c r="E19" s="25"/>
    </row>
    <row r="20" spans="1:11" x14ac:dyDescent="0.2">
      <c r="E20" s="25"/>
      <c r="F20" s="2"/>
      <c r="G20" s="2"/>
      <c r="H20" s="2"/>
    </row>
    <row r="21" spans="1:11" x14ac:dyDescent="0.2">
      <c r="A21" s="28" t="s">
        <v>49</v>
      </c>
      <c r="B21" s="25"/>
      <c r="E21" s="25"/>
      <c r="F21" s="2"/>
      <c r="G21" s="2"/>
      <c r="H21" s="2"/>
    </row>
    <row r="22" spans="1:11" x14ac:dyDescent="0.2">
      <c r="A22" t="s">
        <v>48</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7">
    <mergeCell ref="B1:O1"/>
    <mergeCell ref="A5:B5"/>
    <mergeCell ref="E5:E57"/>
    <mergeCell ref="A9:B9"/>
    <mergeCell ref="A18:B18"/>
    <mergeCell ref="A21:B21"/>
    <mergeCell ref="A27:B27"/>
  </mergeCells>
  <dataValidations count="3">
    <dataValidation type="list" allowBlank="1" showInputMessage="1" showErrorMessage="1" sqref="B10" xr:uid="{531192E6-DC1F-462D-8D82-84FE4137F89E}">
      <formula1>"Line,Clustered Bar,Stacked Bar,Bar,Horizontal Stacked Bar"</formula1>
    </dataValidation>
    <dataValidation type="list" allowBlank="1" showInputMessage="1" showErrorMessage="1" sqref="B2" xr:uid="{C753CFA1-1091-45DE-96EF-2AD2FCC0DDBA}">
      <formula1>"Table,Figure,Both"</formula1>
    </dataValidation>
    <dataValidation type="list" allowBlank="1" showInputMessage="1" showErrorMessage="1" sqref="B6 B15:B16" xr:uid="{3E039B6E-B88C-497B-94C8-F5F1F8DA3B0F}">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CB09879A-9B37-4351-A777-FE5174B821E3}">
          <x14:formula1>
            <xm:f>Master!$E$2:$E$10</xm:f>
          </x14:formula1>
          <xm:sqref>B1:O1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DD7AE-C27D-0B4B-B900-B4E7BA54D2D0}">
  <dimension ref="A1:Q57"/>
  <sheetViews>
    <sheetView topLeftCell="B1" workbookViewId="0">
      <selection activeCell="H24" sqref="H2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t="s">
        <v>152</v>
      </c>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tbl-10</v>
      </c>
    </row>
    <row r="4" spans="1:17" ht="16" thickBot="1" x14ac:dyDescent="0.25">
      <c r="A4" s="6" t="s">
        <v>6</v>
      </c>
      <c r="B4" t="str">
        <f>IF($B$1="","",_xlfn.XLOOKUP($B$1,Master!$E$2:$E$321,Master!$G$2:$G$321,""))</f>
        <v>fig-10</v>
      </c>
      <c r="E4" s="5"/>
      <c r="F4" s="4" t="s">
        <v>55</v>
      </c>
      <c r="G4" s="4" t="s">
        <v>22</v>
      </c>
      <c r="H4" s="4" t="s">
        <v>22</v>
      </c>
      <c r="I4" s="4" t="s">
        <v>22</v>
      </c>
      <c r="J4" s="4" t="s">
        <v>22</v>
      </c>
      <c r="K4" s="4"/>
      <c r="L4" s="4"/>
      <c r="M4" s="4"/>
      <c r="N4" s="4"/>
      <c r="O4" s="4"/>
      <c r="P4" s="4"/>
      <c r="Q4" s="4"/>
    </row>
    <row r="5" spans="1:17" ht="17" thickTop="1" thickBot="1" x14ac:dyDescent="0.25">
      <c r="A5" s="26" t="s">
        <v>38</v>
      </c>
      <c r="B5" s="25"/>
      <c r="E5" s="27" t="s">
        <v>54</v>
      </c>
      <c r="F5" s="36" t="s">
        <v>145</v>
      </c>
      <c r="G5" s="38">
        <v>2025</v>
      </c>
      <c r="H5" s="39"/>
      <c r="I5" s="38">
        <v>2024</v>
      </c>
      <c r="J5" s="39"/>
    </row>
    <row r="6" spans="1:17" ht="15" customHeight="1" thickTop="1" thickBot="1" x14ac:dyDescent="0.25">
      <c r="A6" t="s">
        <v>39</v>
      </c>
      <c r="B6" t="b">
        <v>1</v>
      </c>
      <c r="E6" s="25"/>
      <c r="F6" s="37"/>
      <c r="G6" s="18" t="s">
        <v>1</v>
      </c>
      <c r="H6" s="18" t="s">
        <v>17</v>
      </c>
      <c r="I6" s="18" t="s">
        <v>1</v>
      </c>
      <c r="J6" s="18" t="s">
        <v>17</v>
      </c>
      <c r="K6" s="2"/>
      <c r="L6" s="2"/>
      <c r="M6" s="2"/>
      <c r="N6" s="2"/>
      <c r="O6" s="2"/>
    </row>
    <row r="7" spans="1:17" ht="15.75" customHeight="1" thickTop="1" thickBot="1" x14ac:dyDescent="0.25">
      <c r="E7" s="25"/>
      <c r="F7" s="19" t="s">
        <v>106</v>
      </c>
      <c r="G7" s="20">
        <v>40</v>
      </c>
      <c r="H7" s="21">
        <v>0.59699999999999998</v>
      </c>
      <c r="I7" s="20">
        <v>41</v>
      </c>
      <c r="J7" s="21">
        <v>0.52600000000000002</v>
      </c>
      <c r="K7" s="2"/>
      <c r="L7" s="2"/>
      <c r="M7" s="2"/>
      <c r="N7" s="2"/>
      <c r="O7" s="2"/>
    </row>
    <row r="8" spans="1:17" ht="17" thickTop="1" thickBot="1" x14ac:dyDescent="0.25">
      <c r="E8" s="25"/>
      <c r="F8" s="19" t="s">
        <v>105</v>
      </c>
      <c r="G8" s="20">
        <v>36</v>
      </c>
      <c r="H8" s="21">
        <v>0.53700000000000003</v>
      </c>
      <c r="I8" s="20">
        <v>46</v>
      </c>
      <c r="J8" s="21">
        <v>0.59</v>
      </c>
      <c r="K8" s="2"/>
      <c r="L8" s="2"/>
      <c r="M8" s="2"/>
      <c r="N8" s="2"/>
      <c r="O8" s="2"/>
    </row>
    <row r="9" spans="1:17" ht="17" thickTop="1" thickBot="1" x14ac:dyDescent="0.25">
      <c r="A9" s="26" t="s">
        <v>40</v>
      </c>
      <c r="B9" s="25"/>
      <c r="E9" s="25"/>
      <c r="F9" s="19" t="s">
        <v>146</v>
      </c>
      <c r="G9" s="20">
        <v>14</v>
      </c>
      <c r="H9" s="21">
        <v>0.20899999999999999</v>
      </c>
      <c r="I9" s="20">
        <v>13</v>
      </c>
      <c r="J9" s="21">
        <v>0.16700000000000001</v>
      </c>
      <c r="K9" s="2"/>
      <c r="L9" s="2"/>
      <c r="M9" s="2"/>
      <c r="N9" s="2"/>
      <c r="O9" s="2"/>
    </row>
    <row r="10" spans="1:17" ht="17" thickTop="1" thickBot="1" x14ac:dyDescent="0.25">
      <c r="A10" t="s">
        <v>15</v>
      </c>
      <c r="E10" s="25"/>
      <c r="F10" s="19" t="s">
        <v>147</v>
      </c>
      <c r="G10" s="20">
        <v>8</v>
      </c>
      <c r="H10" s="21">
        <v>0.11899999999999999</v>
      </c>
      <c r="I10" s="20">
        <v>5</v>
      </c>
      <c r="J10" s="21">
        <v>6.4000000000000001E-2</v>
      </c>
    </row>
    <row r="11" spans="1:17" ht="17" thickTop="1" thickBot="1" x14ac:dyDescent="0.25">
      <c r="A11" t="s">
        <v>41</v>
      </c>
      <c r="E11" s="25"/>
      <c r="F11" s="19" t="s">
        <v>112</v>
      </c>
      <c r="G11" s="20">
        <v>7</v>
      </c>
      <c r="H11" s="21">
        <v>0.104</v>
      </c>
      <c r="I11" s="20">
        <v>4</v>
      </c>
      <c r="J11" s="21">
        <v>5.0999999999999997E-2</v>
      </c>
      <c r="K11" s="1"/>
      <c r="L11" s="1"/>
      <c r="M11" s="1"/>
      <c r="N11" s="1"/>
    </row>
    <row r="12" spans="1:17" ht="17" thickTop="1" thickBot="1" x14ac:dyDescent="0.25">
      <c r="A12" t="s">
        <v>42</v>
      </c>
      <c r="E12" s="25"/>
      <c r="F12" s="19" t="s">
        <v>148</v>
      </c>
      <c r="G12" s="20">
        <v>5</v>
      </c>
      <c r="H12" s="21">
        <v>7.4999999999999997E-2</v>
      </c>
      <c r="I12" s="20">
        <v>1</v>
      </c>
      <c r="J12" s="21">
        <v>1.2999999999999999E-2</v>
      </c>
      <c r="K12" s="2"/>
      <c r="L12" s="2"/>
    </row>
    <row r="13" spans="1:17" ht="17" thickTop="1" thickBot="1" x14ac:dyDescent="0.25">
      <c r="A13" t="s">
        <v>43</v>
      </c>
      <c r="E13" s="25"/>
      <c r="F13" s="19" t="s">
        <v>149</v>
      </c>
      <c r="G13" s="20">
        <v>5</v>
      </c>
      <c r="H13" s="21">
        <v>7.4999999999999997E-2</v>
      </c>
      <c r="I13" s="20">
        <v>12</v>
      </c>
      <c r="J13" s="21">
        <v>0.154</v>
      </c>
    </row>
    <row r="14" spans="1:17" ht="17" thickTop="1" thickBot="1" x14ac:dyDescent="0.25">
      <c r="A14" t="s">
        <v>45</v>
      </c>
      <c r="E14" s="25"/>
      <c r="F14" s="19" t="s">
        <v>109</v>
      </c>
      <c r="G14" s="20">
        <v>4</v>
      </c>
      <c r="H14" s="21">
        <v>0.06</v>
      </c>
      <c r="I14" s="20">
        <v>10</v>
      </c>
      <c r="J14" s="21">
        <v>0.128</v>
      </c>
    </row>
    <row r="15" spans="1:17" ht="17" thickTop="1" thickBot="1" x14ac:dyDescent="0.25">
      <c r="A15" t="s">
        <v>46</v>
      </c>
      <c r="E15" s="25"/>
      <c r="F15" s="19" t="s">
        <v>150</v>
      </c>
      <c r="G15" s="20">
        <v>4</v>
      </c>
      <c r="H15" s="21">
        <v>0.06</v>
      </c>
      <c r="I15" s="20">
        <v>4</v>
      </c>
      <c r="J15" s="21">
        <v>5.0999999999999997E-2</v>
      </c>
    </row>
    <row r="16" spans="1:17" ht="17" thickTop="1" thickBot="1" x14ac:dyDescent="0.25">
      <c r="A16" t="s">
        <v>52</v>
      </c>
      <c r="E16" s="25"/>
      <c r="F16" s="19" t="s">
        <v>151</v>
      </c>
      <c r="G16" s="20">
        <v>4</v>
      </c>
      <c r="H16" s="21">
        <v>0.06</v>
      </c>
      <c r="I16" s="20">
        <v>6</v>
      </c>
      <c r="J16" s="21">
        <v>7.6999999999999999E-2</v>
      </c>
    </row>
    <row r="17" spans="1:11" ht="16" thickTop="1" x14ac:dyDescent="0.2">
      <c r="E17" s="25"/>
    </row>
    <row r="18" spans="1:11" x14ac:dyDescent="0.2">
      <c r="A18" s="26" t="s">
        <v>51</v>
      </c>
      <c r="B18" s="25"/>
      <c r="E18" s="25"/>
    </row>
    <row r="19" spans="1:11" x14ac:dyDescent="0.2">
      <c r="A19" t="s">
        <v>50</v>
      </c>
      <c r="B19" s="23" t="s">
        <v>87</v>
      </c>
      <c r="E19" s="25"/>
    </row>
    <row r="20" spans="1:11" x14ac:dyDescent="0.2">
      <c r="E20" s="25"/>
      <c r="F20" s="2"/>
      <c r="G20" s="2"/>
      <c r="H20" s="2"/>
    </row>
    <row r="21" spans="1:11" x14ac:dyDescent="0.2">
      <c r="A21" s="28" t="s">
        <v>49</v>
      </c>
      <c r="B21" s="25"/>
      <c r="E21" s="25"/>
      <c r="F21" s="2"/>
      <c r="G21" s="2"/>
      <c r="H21" s="2"/>
    </row>
    <row r="22" spans="1:11" x14ac:dyDescent="0.2">
      <c r="A22" t="s">
        <v>48</v>
      </c>
      <c r="B22" s="23" t="s">
        <v>155</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10">
    <mergeCell ref="B1:O1"/>
    <mergeCell ref="A5:B5"/>
    <mergeCell ref="E5:E57"/>
    <mergeCell ref="A9:B9"/>
    <mergeCell ref="A18:B18"/>
    <mergeCell ref="A21:B21"/>
    <mergeCell ref="A27:B27"/>
    <mergeCell ref="F5:F6"/>
    <mergeCell ref="G5:H5"/>
    <mergeCell ref="I5:J5"/>
  </mergeCells>
  <dataValidations count="3">
    <dataValidation type="list" allowBlank="1" showInputMessage="1" showErrorMessage="1" sqref="B10" xr:uid="{A796CB69-05F7-884C-A005-7406767D319F}">
      <formula1>"Line,Clustered Bar,Stacked Bar,Bar,Horizontal Stacked Bar"</formula1>
    </dataValidation>
    <dataValidation type="list" allowBlank="1" showInputMessage="1" showErrorMessage="1" sqref="B2" xr:uid="{783C4259-FD3D-0A4E-B6ED-B72E8CCD58EF}">
      <formula1>"Table,Figure,Both"</formula1>
    </dataValidation>
    <dataValidation type="list" allowBlank="1" showInputMessage="1" showErrorMessage="1" sqref="B6 B15:B16" xr:uid="{B7EDD8E8-503A-4C4A-8068-567D4577F69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29731B2-6B4D-3E48-95E4-F9C05DEB4753}">
          <x14:formula1>
            <xm:f>Master!$E$2:$E$28</xm:f>
          </x14:formula1>
          <xm:sqref>B1:O1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0066-B0F6-4C9A-A060-686D9F5263D5}">
  <dimension ref="A1"/>
  <sheetViews>
    <sheetView workbookViewId="0"/>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6AAB0-2619-5942-9A46-98C031CEBFF1}">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6" t="s">
        <v>37</v>
      </c>
      <c r="B1" s="24"/>
      <c r="C1" s="25"/>
      <c r="D1" s="25"/>
      <c r="E1" s="25"/>
      <c r="F1" s="25"/>
      <c r="G1" s="25"/>
      <c r="H1" s="25"/>
      <c r="I1" s="25"/>
      <c r="J1" s="25"/>
      <c r="K1" s="25"/>
      <c r="L1" s="25"/>
      <c r="M1" s="25"/>
      <c r="N1" s="25"/>
      <c r="O1" s="25"/>
    </row>
    <row r="2" spans="1:17" x14ac:dyDescent="0.2">
      <c r="A2" s="6" t="s">
        <v>14</v>
      </c>
      <c r="B2" t="s">
        <v>24</v>
      </c>
    </row>
    <row r="3" spans="1:17" x14ac:dyDescent="0.2">
      <c r="A3" s="6" t="s">
        <v>56</v>
      </c>
      <c r="B3" t="str">
        <f>IF($B$1="","",_xlfn.XLOOKUP($B$1,Master!$E$2:$E$321,Master!$F$2:$F$321,""))</f>
        <v/>
      </c>
    </row>
    <row r="4" spans="1:17" x14ac:dyDescent="0.2">
      <c r="A4" s="6" t="s">
        <v>6</v>
      </c>
      <c r="B4" t="str">
        <f>IF($B$1="","",_xlfn.XLOOKUP($B$1,Master!$E$2:$E$321,Master!$G$2:$G$321,""))</f>
        <v/>
      </c>
      <c r="E4" s="5"/>
      <c r="F4" s="4" t="s">
        <v>55</v>
      </c>
      <c r="G4" s="4" t="s">
        <v>22</v>
      </c>
      <c r="H4" s="4" t="s">
        <v>22</v>
      </c>
      <c r="I4" s="4" t="s">
        <v>22</v>
      </c>
      <c r="J4" s="4" t="s">
        <v>22</v>
      </c>
      <c r="K4" s="4" t="s">
        <v>22</v>
      </c>
      <c r="L4" s="4" t="s">
        <v>22</v>
      </c>
      <c r="M4" s="4" t="s">
        <v>22</v>
      </c>
      <c r="N4" s="4" t="s">
        <v>22</v>
      </c>
      <c r="O4" s="4" t="s">
        <v>22</v>
      </c>
      <c r="P4" s="4" t="s">
        <v>22</v>
      </c>
      <c r="Q4" s="4" t="s">
        <v>22</v>
      </c>
    </row>
    <row r="5" spans="1:17" x14ac:dyDescent="0.2">
      <c r="A5" s="26" t="s">
        <v>38</v>
      </c>
      <c r="B5" s="25"/>
      <c r="E5" s="27" t="s">
        <v>54</v>
      </c>
    </row>
    <row r="6" spans="1:17" ht="15" customHeight="1" x14ac:dyDescent="0.2">
      <c r="A6" t="s">
        <v>39</v>
      </c>
      <c r="B6" t="b">
        <v>0</v>
      </c>
      <c r="E6" s="25"/>
      <c r="G6" s="2"/>
      <c r="H6" s="2"/>
      <c r="I6" s="2"/>
      <c r="J6" s="2"/>
      <c r="K6" s="2"/>
      <c r="L6" s="2"/>
      <c r="M6" s="2"/>
      <c r="N6" s="2"/>
      <c r="O6" s="2"/>
    </row>
    <row r="7" spans="1:17" ht="15.75" customHeight="1" x14ac:dyDescent="0.2">
      <c r="E7" s="25"/>
      <c r="G7" s="2"/>
      <c r="H7" s="2"/>
      <c r="I7" s="2"/>
      <c r="J7" s="2"/>
      <c r="K7" s="2"/>
      <c r="L7" s="2"/>
      <c r="M7" s="2"/>
      <c r="N7" s="2"/>
      <c r="O7" s="2"/>
    </row>
    <row r="8" spans="1:17" x14ac:dyDescent="0.2">
      <c r="E8" s="25"/>
      <c r="G8" s="2"/>
      <c r="H8" s="2"/>
      <c r="I8" s="2"/>
      <c r="J8" s="2"/>
      <c r="K8" s="2"/>
      <c r="L8" s="2"/>
      <c r="M8" s="2"/>
      <c r="N8" s="2"/>
      <c r="O8" s="2"/>
    </row>
    <row r="9" spans="1:17" x14ac:dyDescent="0.2">
      <c r="A9" s="26" t="s">
        <v>40</v>
      </c>
      <c r="B9" s="25"/>
      <c r="E9" s="25"/>
      <c r="G9" s="2"/>
      <c r="H9" s="2"/>
      <c r="I9" s="2"/>
      <c r="J9" s="2"/>
      <c r="K9" s="2"/>
      <c r="L9" s="2"/>
      <c r="M9" s="2"/>
      <c r="N9" s="2"/>
      <c r="O9" s="2"/>
    </row>
    <row r="10" spans="1:17" x14ac:dyDescent="0.2">
      <c r="A10" t="s">
        <v>15</v>
      </c>
      <c r="B10" t="s">
        <v>53</v>
      </c>
      <c r="E10" s="25"/>
      <c r="G10" s="2"/>
    </row>
    <row r="11" spans="1:17" x14ac:dyDescent="0.2">
      <c r="A11" t="s">
        <v>41</v>
      </c>
      <c r="B11" t="s">
        <v>44</v>
      </c>
      <c r="E11" s="25"/>
      <c r="G11" s="2"/>
      <c r="H11" s="2"/>
      <c r="I11" s="2"/>
      <c r="J11" s="1"/>
      <c r="K11" s="1"/>
      <c r="L11" s="1"/>
      <c r="M11" s="1"/>
      <c r="N11" s="1"/>
    </row>
    <row r="12" spans="1:17" x14ac:dyDescent="0.2">
      <c r="A12" t="s">
        <v>42</v>
      </c>
      <c r="E12" s="25"/>
      <c r="F12" s="3"/>
      <c r="G12" s="1"/>
      <c r="H12" s="1"/>
      <c r="I12" s="2"/>
      <c r="J12" s="2"/>
      <c r="K12" s="2"/>
      <c r="L12" s="2"/>
    </row>
    <row r="13" spans="1:17" x14ac:dyDescent="0.2">
      <c r="A13" t="s">
        <v>43</v>
      </c>
      <c r="E13" s="25"/>
    </row>
    <row r="14" spans="1:17" x14ac:dyDescent="0.2">
      <c r="A14" t="s">
        <v>45</v>
      </c>
      <c r="E14" s="25"/>
    </row>
    <row r="15" spans="1:17" x14ac:dyDescent="0.2">
      <c r="A15" t="s">
        <v>46</v>
      </c>
      <c r="B15" t="b">
        <v>1</v>
      </c>
      <c r="E15" s="25"/>
    </row>
    <row r="16" spans="1:17" x14ac:dyDescent="0.2">
      <c r="A16" t="s">
        <v>52</v>
      </c>
      <c r="B16" t="b">
        <v>1</v>
      </c>
      <c r="E16" s="25"/>
    </row>
    <row r="17" spans="1:11" x14ac:dyDescent="0.2">
      <c r="E17" s="25"/>
    </row>
    <row r="18" spans="1:11" x14ac:dyDescent="0.2">
      <c r="A18" s="26" t="s">
        <v>51</v>
      </c>
      <c r="B18" s="25"/>
      <c r="E18" s="25"/>
    </row>
    <row r="19" spans="1:11" x14ac:dyDescent="0.2">
      <c r="A19" t="s">
        <v>50</v>
      </c>
      <c r="E19" s="25"/>
    </row>
    <row r="20" spans="1:11" x14ac:dyDescent="0.2">
      <c r="E20" s="25"/>
      <c r="F20" s="2"/>
      <c r="G20" s="2"/>
      <c r="H20" s="2"/>
    </row>
    <row r="21" spans="1:11" x14ac:dyDescent="0.2">
      <c r="A21" s="28" t="s">
        <v>49</v>
      </c>
      <c r="B21" s="25"/>
      <c r="E21" s="25"/>
      <c r="F21" s="2"/>
      <c r="G21" s="2"/>
      <c r="H21" s="2"/>
    </row>
    <row r="22" spans="1:11" x14ac:dyDescent="0.2">
      <c r="A22" t="s">
        <v>48</v>
      </c>
      <c r="E22" s="25"/>
      <c r="F22" s="2"/>
      <c r="G22" s="2"/>
      <c r="H22" s="2"/>
    </row>
    <row r="23" spans="1:11" x14ac:dyDescent="0.2">
      <c r="E23" s="25"/>
      <c r="F23" s="2"/>
      <c r="G23" s="2"/>
      <c r="H23" s="2"/>
    </row>
    <row r="24" spans="1:11" x14ac:dyDescent="0.2">
      <c r="E24" s="25"/>
    </row>
    <row r="25" spans="1:11" x14ac:dyDescent="0.2">
      <c r="E25" s="25"/>
      <c r="F25" s="2"/>
      <c r="G25" s="2"/>
      <c r="H25" s="2"/>
      <c r="K25" t="s">
        <v>47</v>
      </c>
    </row>
    <row r="26" spans="1:11" x14ac:dyDescent="0.2">
      <c r="E26" s="25"/>
      <c r="F26" s="2"/>
      <c r="G26" s="2"/>
      <c r="H26" s="2"/>
    </row>
    <row r="27" spans="1:11" x14ac:dyDescent="0.2">
      <c r="A27" s="28"/>
      <c r="B27" s="25"/>
      <c r="E27" s="25"/>
      <c r="F27" s="2"/>
      <c r="G27" s="2"/>
      <c r="H27" s="2"/>
    </row>
    <row r="28" spans="1:11" x14ac:dyDescent="0.2">
      <c r="E28" s="25"/>
      <c r="F28" s="2"/>
      <c r="G28" s="2"/>
      <c r="H28" s="2"/>
    </row>
    <row r="29" spans="1:11" x14ac:dyDescent="0.2">
      <c r="E29" s="25"/>
      <c r="F29" s="2"/>
      <c r="G29" s="2"/>
      <c r="H29" s="2"/>
    </row>
    <row r="30" spans="1:11" x14ac:dyDescent="0.2">
      <c r="E30" s="25"/>
      <c r="F30" s="2"/>
      <c r="G30" s="2"/>
      <c r="H30" s="2"/>
    </row>
    <row r="31" spans="1:11" x14ac:dyDescent="0.2">
      <c r="E31" s="25"/>
      <c r="F31" s="2"/>
      <c r="G31" s="2"/>
      <c r="H31" s="2"/>
    </row>
    <row r="32" spans="1:11" x14ac:dyDescent="0.2">
      <c r="E32" s="25"/>
    </row>
    <row r="33" spans="5:9" x14ac:dyDescent="0.2">
      <c r="E33" s="25"/>
      <c r="F33" s="2"/>
      <c r="G33" s="2"/>
      <c r="H33" s="2"/>
    </row>
    <row r="34" spans="5:9" x14ac:dyDescent="0.2">
      <c r="E34" s="25"/>
      <c r="F34" s="2"/>
      <c r="G34" s="2"/>
      <c r="H34" s="2"/>
      <c r="I34" s="1"/>
    </row>
    <row r="35" spans="5:9" x14ac:dyDescent="0.2">
      <c r="E35" s="25"/>
      <c r="F35" s="2"/>
      <c r="G35" s="2"/>
      <c r="H35" s="2"/>
      <c r="I35" s="1"/>
    </row>
    <row r="36" spans="5:9" x14ac:dyDescent="0.2">
      <c r="E36" s="25"/>
      <c r="F36" s="2"/>
      <c r="G36" s="2"/>
      <c r="H36" s="2"/>
      <c r="I36" s="1"/>
    </row>
    <row r="37" spans="5:9" x14ac:dyDescent="0.2">
      <c r="E37" s="25"/>
      <c r="F37" s="2"/>
      <c r="G37" s="2"/>
      <c r="H37" s="2"/>
      <c r="I37" s="1"/>
    </row>
    <row r="38" spans="5:9" x14ac:dyDescent="0.2">
      <c r="E38" s="25"/>
    </row>
    <row r="39" spans="5:9" x14ac:dyDescent="0.2">
      <c r="E39" s="25"/>
    </row>
    <row r="40" spans="5:9" x14ac:dyDescent="0.2">
      <c r="E40" s="25"/>
    </row>
    <row r="41" spans="5:9" x14ac:dyDescent="0.2">
      <c r="E41" s="25"/>
    </row>
    <row r="42" spans="5:9" x14ac:dyDescent="0.2">
      <c r="E42" s="25"/>
    </row>
    <row r="43" spans="5:9" x14ac:dyDescent="0.2">
      <c r="E43" s="25"/>
    </row>
    <row r="44" spans="5:9" x14ac:dyDescent="0.2">
      <c r="E44" s="25"/>
    </row>
    <row r="45" spans="5:9" x14ac:dyDescent="0.2">
      <c r="E45" s="25"/>
    </row>
    <row r="46" spans="5:9" x14ac:dyDescent="0.2">
      <c r="E46" s="25"/>
    </row>
    <row r="47" spans="5:9" x14ac:dyDescent="0.2">
      <c r="E47" s="25"/>
    </row>
    <row r="48" spans="5:9" x14ac:dyDescent="0.2">
      <c r="E48" s="25"/>
    </row>
    <row r="49" spans="5:5" x14ac:dyDescent="0.2">
      <c r="E49" s="25"/>
    </row>
    <row r="50" spans="5:5" x14ac:dyDescent="0.2">
      <c r="E50" s="25"/>
    </row>
    <row r="51" spans="5:5" x14ac:dyDescent="0.2">
      <c r="E51" s="25"/>
    </row>
    <row r="52" spans="5:5" x14ac:dyDescent="0.2">
      <c r="E52" s="25"/>
    </row>
    <row r="53" spans="5:5" x14ac:dyDescent="0.2">
      <c r="E53" s="25"/>
    </row>
    <row r="54" spans="5:5" x14ac:dyDescent="0.2">
      <c r="E54" s="25"/>
    </row>
    <row r="55" spans="5:5" x14ac:dyDescent="0.2">
      <c r="E55" s="25"/>
    </row>
    <row r="56" spans="5:5" x14ac:dyDescent="0.2">
      <c r="E56" s="25"/>
    </row>
    <row r="57" spans="5:5" x14ac:dyDescent="0.2">
      <c r="E57" s="25"/>
    </row>
  </sheetData>
  <mergeCells count="7">
    <mergeCell ref="B1:O1"/>
    <mergeCell ref="A5:B5"/>
    <mergeCell ref="E5:E57"/>
    <mergeCell ref="A9:B9"/>
    <mergeCell ref="A18:B18"/>
    <mergeCell ref="A21:B21"/>
    <mergeCell ref="A27:B27"/>
  </mergeCells>
  <dataValidations count="3">
    <dataValidation type="list" allowBlank="1" showInputMessage="1" showErrorMessage="1" sqref="B6 B15:B16" xr:uid="{3E78C81E-6013-9845-8038-ADC828119137}">
      <formula1>"True,False"</formula1>
    </dataValidation>
    <dataValidation type="list" allowBlank="1" showInputMessage="1" showErrorMessage="1" sqref="B2" xr:uid="{9D70045D-C3BB-5044-A03D-C52A8AE40F03}">
      <formula1>"Table,Figure,Both"</formula1>
    </dataValidation>
    <dataValidation type="list" allowBlank="1" showInputMessage="1" showErrorMessage="1" sqref="B10" xr:uid="{FDEE73F4-4358-5042-9EC8-5C739241FA5A}">
      <formula1>"Line,Clustered Bar,Stacked Bar,Bar,Horizontal Stacked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C1E49C95-F4E6-4A0B-A2CD-A21A6677998F}">
          <x14:formula1>
            <xm:f>Master!$E$2:$E$10</xm:f>
          </x14:formula1>
          <xm:sqref>B1:O1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0db5d92-cf7a-41c9-a808-9efa4eb812f2">
      <Terms xmlns="http://schemas.microsoft.com/office/infopath/2007/PartnerControls"/>
    </lcf76f155ced4ddcb4097134ff3c332f>
    <TaxCatchAll xmlns="be71ce3a-ef61-410b-aae3-59cf01e8169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E06BBCF48891B4AA000B842D02367CE" ma:contentTypeVersion="12" ma:contentTypeDescription="Create a new document." ma:contentTypeScope="" ma:versionID="fe6ea1b7fa6cedb1acda08ea4d5bc607">
  <xsd:schema xmlns:xsd="http://www.w3.org/2001/XMLSchema" xmlns:xs="http://www.w3.org/2001/XMLSchema" xmlns:p="http://schemas.microsoft.com/office/2006/metadata/properties" xmlns:ns2="70db5d92-cf7a-41c9-a808-9efa4eb812f2" xmlns:ns3="be71ce3a-ef61-410b-aae3-59cf01e8169d" targetNamespace="http://schemas.microsoft.com/office/2006/metadata/properties" ma:root="true" ma:fieldsID="6c75d4e196960d1be8fe94f46d8363ec" ns2:_="" ns3:_="">
    <xsd:import namespace="70db5d92-cf7a-41c9-a808-9efa4eb812f2"/>
    <xsd:import namespace="be71ce3a-ef61-410b-aae3-59cf01e8169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db5d92-cf7a-41c9-a808-9efa4eb812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771ad2a-fb66-4f81-a1fc-6fe6d2de272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71ce3a-ef61-410b-aae3-59cf01e8169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090871a-1876-4c0e-ad5b-2d6942987647}" ma:internalName="TaxCatchAll" ma:showField="CatchAllData" ma:web="be71ce3a-ef61-410b-aae3-59cf01e816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EB17D4-6620-41BA-83C9-0358F4652F7C}">
  <ds:schemaRefs>
    <ds:schemaRef ds:uri="http://schemas.microsoft.com/sharepoint/v3/contenttype/forms"/>
  </ds:schemaRefs>
</ds:datastoreItem>
</file>

<file path=customXml/itemProps2.xml><?xml version="1.0" encoding="utf-8"?>
<ds:datastoreItem xmlns:ds="http://schemas.openxmlformats.org/officeDocument/2006/customXml" ds:itemID="{23DA2851-01F3-47E7-96BF-9362FC37866B}">
  <ds:schemaRefs>
    <ds:schemaRef ds:uri="http://schemas.microsoft.com/office/infopath/2007/PartnerControls"/>
    <ds:schemaRef ds:uri="http://purl.org/dc/terms/"/>
    <ds:schemaRef ds:uri="be71ce3a-ef61-410b-aae3-59cf01e8169d"/>
    <ds:schemaRef ds:uri="http://schemas.microsoft.com/office/2006/metadata/properties"/>
    <ds:schemaRef ds:uri="http://purl.org/dc/elements/1.1/"/>
    <ds:schemaRef ds:uri="http://schemas.microsoft.com/office/2006/documentManagement/types"/>
    <ds:schemaRef ds:uri="http://www.w3.org/XML/1998/namespace"/>
    <ds:schemaRef ds:uri="70db5d92-cf7a-41c9-a808-9efa4eb812f2"/>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EF5969E4-39DE-4C93-A7E1-5338058A9C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db5d92-cf7a-41c9-a808-9efa4eb812f2"/>
    <ds:schemaRef ds:uri="be71ce3a-ef61-410b-aae3-59cf01e81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Master</vt:lpstr>
      <vt:lpstr>Dropdowns</vt:lpstr>
      <vt:lpstr>Suspected Overdose Zip 23-24</vt:lpstr>
      <vt:lpstr>Overdose Deaths 21-24</vt:lpstr>
      <vt:lpstr>OD Death Quarter 21-24</vt:lpstr>
      <vt:lpstr>OD Deaths Pop 21-24</vt:lpstr>
      <vt:lpstr>OD Deaths Sex 21-24</vt:lpstr>
      <vt:lpstr>Overdose Deaths Age Group 21-24</vt:lpstr>
      <vt:lpstr>Drugs Present Time OD Death</vt:lpstr>
      <vt:lpstr>Drugs in Tox Screening 24</vt:lpstr>
      <vt:lpstr>OD Deaths OpioidStim 21-24</vt:lpstr>
      <vt:lpstr>Template2 (2)</vt:lpstr>
      <vt:lpstr>Sheet2</vt:lpstr>
      <vt:lpstr>Template2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Dayquan Crandell</cp:lastModifiedBy>
  <dcterms:created xsi:type="dcterms:W3CDTF">2026-06-01T14:58:39Z</dcterms:created>
  <dcterms:modified xsi:type="dcterms:W3CDTF">2026-10-20T17:32:04Z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0x0101005E06BBCF48891B4AA000B842D02367CE</vt:lpwstr>
  </property>
  <property fmtid="{D5CDD505-2E9C-101B-9397-08002B2CF9AE}" pid="3" name="MediaServiceImageTags">
    <vt:lpwstr/>
  </property>
</Properties>
</file>